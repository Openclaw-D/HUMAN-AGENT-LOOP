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e703f5519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年度报表" sheetId="1" r:id="R5623d1f8cd1d4a11"/>
    <x:sheet xmlns:r="http://schemas.openxmlformats.org/officeDocument/2006/relationships" name="月度财务" sheetId="2" r:id="R9d879f68bbb44e54"/>
    <x:sheet xmlns:r="http://schemas.openxmlformats.org/officeDocument/2006/relationships" name="银行流水" sheetId="3" r:id="Ra4452df7880b4566"/>
    <x:sheet xmlns:r="http://schemas.openxmlformats.org/officeDocument/2006/relationships" name="销售开票回款" sheetId="4" r:id="Rb6ef3e3f6e174e68"/>
    <x:sheet xmlns:r="http://schemas.openxmlformats.org/officeDocument/2006/relationships" name="采购进项付款" sheetId="5" r:id="Rcce38a425b764ad5"/>
    <x:sheet xmlns:r="http://schemas.openxmlformats.org/officeDocument/2006/relationships" name="生产用电" sheetId="6" r:id="Raba949f0b2b14efd"/>
    <x:sheet xmlns:r="http://schemas.openxmlformats.org/officeDocument/2006/relationships" name="税务台账" sheetId="7" r:id="Rf78229354b9f427d"/>
    <x:sheet xmlns:r="http://schemas.openxmlformats.org/officeDocument/2006/relationships" name="人员工资" sheetId="8" r:id="R8a2ccfbd71e04ae9"/>
    <x:sheet xmlns:r="http://schemas.openxmlformats.org/officeDocument/2006/relationships" name="设备清单" sheetId="9" r:id="R19acb8eb85054102"/>
    <x:sheet xmlns:r="http://schemas.openxmlformats.org/officeDocument/2006/relationships" name="应收明细" sheetId="10" r:id="R76a3c3ea40fd46e9"/>
    <x:sheet xmlns:r="http://schemas.openxmlformats.org/officeDocument/2006/relationships" name="债务计划" sheetId="11" r:id="Rab42d151a294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.0%"/>
  </x:numFmts>
  <x:fonts count="6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6"/>
      <x:name val="Microsoft YaHei"/>
    </x:font>
    <x:font>
      <x:b/>
      <x:sz val="16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252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3edc019dc40e1" /><Relationship Type="http://schemas.openxmlformats.org/officeDocument/2006/relationships/theme" Target="/xl/theme/theme1.xml" Id="R045036f6f2624285" /><Relationship Type="http://schemas.openxmlformats.org/officeDocument/2006/relationships/sharedStrings" Target="/xl/sharedStrings.xml" Id="Rf12f81c7b9cb4956" /><Relationship Type="http://schemas.openxmlformats.org/officeDocument/2006/relationships/worksheet" Target="/xl/worksheets/sheet1.xml" Id="R5623d1f8cd1d4a11" /><Relationship Type="http://schemas.openxmlformats.org/officeDocument/2006/relationships/worksheet" Target="/xl/worksheets/sheet2.xml" Id="R9d879f68bbb44e54" /><Relationship Type="http://schemas.openxmlformats.org/officeDocument/2006/relationships/worksheet" Target="/xl/worksheets/sheet3.xml" Id="Ra4452df7880b4566" /><Relationship Type="http://schemas.openxmlformats.org/officeDocument/2006/relationships/worksheet" Target="/xl/worksheets/sheet4.xml" Id="Rb6ef3e3f6e174e68" /><Relationship Type="http://schemas.openxmlformats.org/officeDocument/2006/relationships/worksheet" Target="/xl/worksheets/sheet5.xml" Id="Rcce38a425b764ad5" /><Relationship Type="http://schemas.openxmlformats.org/officeDocument/2006/relationships/worksheet" Target="/xl/worksheets/sheet6.xml" Id="Raba949f0b2b14efd" /><Relationship Type="http://schemas.openxmlformats.org/officeDocument/2006/relationships/worksheet" Target="/xl/worksheets/sheet7.xml" Id="Rf78229354b9f427d" /><Relationship Type="http://schemas.openxmlformats.org/officeDocument/2006/relationships/worksheet" Target="/xl/worksheets/sheet8.xml" Id="R8a2ccfbd71e04ae9" /><Relationship Type="http://schemas.openxmlformats.org/officeDocument/2006/relationships/worksheet" Target="/xl/worksheets/sheet9.xml" Id="R19acb8eb85054102" /><Relationship Type="http://schemas.openxmlformats.org/officeDocument/2006/relationships/worksheet" Target="/xl/worksheets/sheet10.xml" Id="R76a3c3ea40fd46e9" /><Relationship Type="http://schemas.openxmlformats.org/officeDocument/2006/relationships/worksheet" Target="/xl/worksheets/sheet11.xml" Id="Rab42d151a29440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0" customHeight="1">
      <x:c r="A1" s="9" t="str">
        <x:v>喀什示例塑料制品有限公司 · 年度报表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38" customHeight="1">
      <x:c r="A4" s="11" t="str">
        <x:v>期间</x:v>
      </x:c>
      <x:c r="B4" s="11" t="str">
        <x:v>收入元</x:v>
      </x:c>
      <x:c r="C4" s="11" t="str">
        <x:v>净利润元</x:v>
      </x:c>
      <x:c r="D4" s="11" t="str">
        <x:v>现金元</x:v>
      </x:c>
      <x:c r="E4" s="11" t="str">
        <x:v>应收元</x:v>
      </x:c>
      <x:c r="F4" s="11" t="str">
        <x:v>存货元</x:v>
      </x:c>
      <x:c r="G4" s="11" t="str">
        <x:v>固定资产净额元</x:v>
      </x:c>
      <x:c r="H4" s="11" t="str">
        <x:v>负债元</x:v>
      </x:c>
      <x:c r="I4" s="11" t="str">
        <x:v>权益元</x:v>
      </x:c>
      <x:c r="J4" s="11" t="str">
        <x:v>资产元</x:v>
      </x:c>
      <x:c r="K4" s="11" t="str">
        <x:v>经营净现金元</x:v>
      </x:c>
    </x:row>
    <x:row r="5" ht="38" customHeight="1">
      <x:c r="A5" s="12" t="str">
        <x:v>2023</x:v>
      </x:c>
      <x:c r="B5" s="13" t="n">
        <x:f>SUM('月度财务'!B5:B16)</x:f>
        <x:v>50946000</x:v>
      </x:c>
      <x:c r="C5" s="13" t="n">
        <x:f>SUM('月度财务'!J5:J16)</x:f>
        <x:v>10009065</x:v>
      </x:c>
      <x:c r="D5" s="13" t="n">
        <x:f>'月度财务'!N16</x:f>
        <x:v>4000000</x:v>
      </x:c>
      <x:c r="E5" s="13" t="n">
        <x:f>'月度财务'!O16</x:f>
        <x:v>1400000</x:v>
      </x:c>
      <x:c r="F5" s="13" t="n">
        <x:f>'月度财务'!P16</x:f>
        <x:v>1800000</x:v>
      </x:c>
      <x:c r="G5" s="13" t="n">
        <x:f>'月度财务'!Q16</x:f>
        <x:v>23840000</x:v>
      </x:c>
      <x:c r="H5" s="13" t="n">
        <x:f>'月度财务'!R16</x:f>
        <x:v>7400000</x:v>
      </x:c>
      <x:c r="I5" s="13" t="n">
        <x:f>'月度财务'!S16</x:f>
        <x:v>23640000</x:v>
      </x:c>
      <x:c r="J5" s="13" t="n">
        <x:f>'月度财务'!T16</x:f>
        <x:v>31040000</x:v>
      </x:c>
      <x:c r="K5" s="13" t="n">
        <x:f>SUM('月度财务'!U5:U16)</x:f>
        <x:v>12169065</x:v>
      </x:c>
    </x:row>
    <x:row r="6" ht="38" customHeight="1">
      <x:c r="A6" s="12" t="str">
        <x:v>2024</x:v>
      </x:c>
      <x:c r="B6" s="13" t="n">
        <x:f>SUM('月度财务'!B17:B28)</x:f>
        <x:v>55021680</x:v>
      </x:c>
      <x:c r="C6" s="13" t="n">
        <x:f>SUM('月度财务'!J17:J28)</x:f>
        <x:v>11751417</x:v>
      </x:c>
      <x:c r="D6" s="13" t="n">
        <x:f>'月度财务'!N28</x:f>
        <x:v>4000000</x:v>
      </x:c>
      <x:c r="E6" s="13" t="n">
        <x:f>'月度财务'!O28</x:f>
        <x:v>1400000</x:v>
      </x:c>
      <x:c r="F6" s="13" t="n">
        <x:f>'月度财务'!P28</x:f>
        <x:v>1800000</x:v>
      </x:c>
      <x:c r="G6" s="13" t="n">
        <x:f>'月度财务'!Q28</x:f>
        <x:v>21680000</x:v>
      </x:c>
      <x:c r="H6" s="13" t="n">
        <x:f>'月度财务'!R28</x:f>
        <x:v>7400000</x:v>
      </x:c>
      <x:c r="I6" s="13" t="n">
        <x:f>'月度财务'!S28</x:f>
        <x:v>21480000</x:v>
      </x:c>
      <x:c r="J6" s="13" t="n">
        <x:f>'月度财务'!T28</x:f>
        <x:v>28880000</x:v>
      </x:c>
      <x:c r="K6" s="13" t="n">
        <x:f>SUM('月度财务'!U17:U28)</x:f>
        <x:v>13911417</x:v>
      </x:c>
    </x:row>
    <x:row r="7" ht="38" customHeight="1">
      <x:c r="A7" s="12" t="str">
        <x:v>2025</x:v>
      </x:c>
      <x:c r="B7" s="13" t="n">
        <x:f>SUM('月度财务'!B29:B40)</x:f>
        <x:v>59423412</x:v>
      </x:c>
      <x:c r="C7" s="13" t="n">
        <x:f>SUM('月度财务'!J29:J40)</x:f>
        <x:v>13633160</x:v>
      </x:c>
      <x:c r="D7" s="13" t="n">
        <x:f>'月度财务'!N40</x:f>
        <x:v>4000000</x:v>
      </x:c>
      <x:c r="E7" s="13" t="n">
        <x:f>'月度财务'!O40</x:f>
        <x:v>1400000</x:v>
      </x:c>
      <x:c r="F7" s="13" t="n">
        <x:f>'月度财务'!P40</x:f>
        <x:v>1800000</x:v>
      </x:c>
      <x:c r="G7" s="13" t="n">
        <x:f>'月度财务'!Q40</x:f>
        <x:v>19520000</x:v>
      </x:c>
      <x:c r="H7" s="13" t="n">
        <x:f>'月度财务'!R40</x:f>
        <x:v>7400000</x:v>
      </x:c>
      <x:c r="I7" s="13" t="n">
        <x:f>'月度财务'!S40</x:f>
        <x:v>19320000</x:v>
      </x:c>
      <x:c r="J7" s="13" t="n">
        <x:f>'月度财务'!T40</x:f>
        <x:v>26720000</x:v>
      </x:c>
      <x:c r="K7" s="13" t="n">
        <x:f>SUM('月度财务'!U29:U40)</x:f>
        <x:v>15793160</x:v>
      </x:c>
    </x:row>
    <x:row r="8" ht="38" customHeight="1">
      <x:c r="A8" s="12" t="str">
        <x:v>2026-01至08</x:v>
      </x:c>
      <x:c r="B8" s="13" t="n">
        <x:f>SUM('月度财务'!B41:B48)</x:f>
        <x:v>41850132</x:v>
      </x:c>
      <x:c r="C8" s="13" t="n">
        <x:f>SUM('月度财务'!J41:J48)</x:f>
        <x:v>10078483</x:v>
      </x:c>
      <x:c r="D8" s="13" t="n">
        <x:f>'月度财务'!N48</x:f>
        <x:v>15045576</x:v>
      </x:c>
      <x:c r="E8" s="13" t="n">
        <x:f>'月度财务'!O48</x:f>
        <x:v>1872907</x:v>
      </x:c>
      <x:c r="F8" s="13" t="n">
        <x:f>'月度财务'!P48</x:f>
        <x:v>1800000</x:v>
      </x:c>
      <x:c r="G8" s="13" t="n">
        <x:f>'月度财务'!Q48</x:f>
        <x:v>18080000</x:v>
      </x:c>
      <x:c r="H8" s="13" t="n">
        <x:f>'月度财务'!R48</x:f>
        <x:v>7400000</x:v>
      </x:c>
      <x:c r="I8" s="13" t="n">
        <x:f>'月度财务'!S48</x:f>
        <x:v>29398483</x:v>
      </x:c>
      <x:c r="J8" s="13" t="n">
        <x:f>'月度财务'!T48</x:f>
        <x:v>36798483</x:v>
      </x:c>
      <x:c r="K8" s="13" t="n">
        <x:f>SUM('月度财务'!U41:U48)</x:f>
        <x:v>11045576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</x:cols>
  <x:sheetData>
    <x:row r="1" ht="30" customHeight="1">
      <x:c r="A1" s="9" t="str">
        <x:v>喀什示例塑料制品有限公司 · 月度财务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4" ht="38" customHeight="1">
      <x:c r="A4" s="11" t="str">
        <x:v>月份</x:v>
      </x:c>
      <x:c r="B4" s="11" t="str">
        <x:v>收入元</x:v>
      </x:c>
      <x:c r="C4" s="11" t="str">
        <x:v>原料成本元</x:v>
      </x:c>
      <x:c r="D4" s="11" t="str">
        <x:v>人工元</x:v>
      </x:c>
      <x:c r="E4" s="11" t="str">
        <x:v>电费元</x:v>
      </x:c>
      <x:c r="F4" s="11" t="str">
        <x:v>管理销售元</x:v>
      </x:c>
      <x:c r="G4" s="11" t="str">
        <x:v>折旧元</x:v>
      </x:c>
      <x:c r="H4" s="11" t="str">
        <x:v>利息元</x:v>
      </x:c>
      <x:c r="I4" s="11" t="str">
        <x:v>所得税元</x:v>
      </x:c>
      <x:c r="J4" s="11" t="str">
        <x:v>净利润元</x:v>
      </x:c>
      <x:c r="K4" s="11" t="str">
        <x:v>客户回款元</x:v>
      </x:c>
      <x:c r="L4" s="11" t="str">
        <x:v>原料采购元</x:v>
      </x:c>
      <x:c r="M4" s="11" t="str">
        <x:v>增值税缴付元</x:v>
      </x:c>
      <x:c r="N4" s="11" t="str">
        <x:v>现金元</x:v>
      </x:c>
      <x:c r="O4" s="11" t="str">
        <x:v>应收元</x:v>
      </x:c>
      <x:c r="P4" s="11" t="str">
        <x:v>存货元</x:v>
      </x:c>
      <x:c r="Q4" s="11" t="str">
        <x:v>固定资产净额元</x:v>
      </x:c>
      <x:c r="R4" s="11" t="str">
        <x:v>负债元</x:v>
      </x:c>
      <x:c r="S4" s="11" t="str">
        <x:v>权益元</x:v>
      </x:c>
      <x:c r="T4" s="11" t="str">
        <x:v>资产元</x:v>
      </x:c>
      <x:c r="U4" s="11" t="str">
        <x:v>经营净现金元</x:v>
      </x:c>
      <x:c r="V4" s="11" t="str">
        <x:v>分红筹资流出元</x:v>
      </x:c>
      <x:c r="W4" s="11" t="str">
        <x:v>现金净变动元</x:v>
      </x:c>
    </x:row>
    <x:row r="5" ht="38" customHeight="1">
      <x:c r="A5" s="12" t="str">
        <x:v>2023-01</x:v>
      </x:c>
      <x:c r="B5" s="13" t="n">
        <x:v>3360000</x:v>
      </x:c>
      <x:c r="C5" s="13" t="n">
        <x:v>1444800</x:v>
      </x:c>
      <x:c r="D5" s="13" t="n">
        <x:v>520000</x:v>
      </x:c>
      <x:c r="E5" s="13" t="n">
        <x:v>208000</x:v>
      </x:c>
      <x:c r="F5" s="13" t="n">
        <x:v>320000</x:v>
      </x:c>
      <x:c r="G5" s="13" t="n">
        <x:v>180000</x:v>
      </x:c>
      <x:c r="H5" s="13" t="n">
        <x:v>25000</x:v>
      </x:c>
      <x:c r="I5" s="13" t="n">
        <x:v>165550</x:v>
      </x:c>
      <x:c r="J5" s="13" t="n">
        <x:f>B5-SUM(C5:I5)</x:f>
        <x:v>496650</x:v>
      </x:c>
      <x:c r="K5" s="13" t="n">
        <x:v>3796800</x:v>
      </x:c>
      <x:c r="L5" s="13" t="n">
        <x:v>1444800</x:v>
      </x:c>
      <x:c r="M5" s="13" t="n">
        <x:v>248976</x:v>
      </x:c>
      <x:c r="N5" s="13" t="n">
        <x:f>3000000+W5</x:f>
        <x:v>3676650</x:v>
      </x:c>
      <x:c r="O5" s="13" t="n">
        <x:f>1400000+B5+'税务台账'!C5-K5</x:f>
        <x:v>1400000</x:v>
      </x:c>
      <x:c r="P5" s="13" t="n">
        <x:f>1800000+L5-C5</x:f>
        <x:v>1800000</x:v>
      </x:c>
      <x:c r="Q5" s="13" t="n">
        <x:f>26000000-G5</x:f>
        <x:v>25820000</x:v>
      </x:c>
      <x:c r="R5" s="13" t="n">
        <x:v>7400000</x:v>
      </x:c>
      <x:c r="S5" s="13" t="n">
        <x:f>24800000+J5-V5</x:f>
        <x:v>25296650</x:v>
      </x:c>
      <x:c r="T5" s="13" t="n">
        <x:f>SUM(N5:Q5)</x:f>
        <x:v>32696650</x:v>
      </x:c>
      <x:c r="U5" s="13" t="n">
        <x:f>K5-L5-'税务台账'!E5-D5-E5-F5-H5-I5-M5</x:f>
        <x:v>676650</x:v>
      </x:c>
      <x:c r="V5" s="13" t="n">
        <x:v>0</x:v>
      </x:c>
      <x:c r="W5" s="13" t="n">
        <x:f>U5-V5</x:f>
        <x:v>676650</x:v>
      </x:c>
    </x:row>
    <x:row r="6" ht="38" customHeight="1">
      <x:c r="A6" s="12" t="str">
        <x:v>2023-02</x:v>
      </x:c>
      <x:c r="B6" s="13" t="n">
        <x:v>3024000</x:v>
      </x:c>
      <x:c r="C6" s="13" t="n">
        <x:v>1300320</x:v>
      </x:c>
      <x:c r="D6" s="13" t="n">
        <x:v>520000</x:v>
      </x:c>
      <x:c r="E6" s="13" t="n">
        <x:v>187200</x:v>
      </x:c>
      <x:c r="F6" s="13" t="n">
        <x:v>320000</x:v>
      </x:c>
      <x:c r="G6" s="13" t="n">
        <x:v>180000</x:v>
      </x:c>
      <x:c r="H6" s="13" t="n">
        <x:v>25000</x:v>
      </x:c>
      <x:c r="I6" s="13" t="n">
        <x:v>122870</x:v>
      </x:c>
      <x:c r="J6" s="13" t="n">
        <x:f>B6-SUM(C6:I6)</x:f>
        <x:v>368610</x:v>
      </x:c>
      <x:c r="K6" s="13" t="n">
        <x:v>3417120</x:v>
      </x:c>
      <x:c r="L6" s="13" t="n">
        <x:v>1300320</x:v>
      </x:c>
      <x:c r="M6" s="13" t="n">
        <x:v>224078</x:v>
      </x:c>
      <x:c r="N6" s="13" t="n">
        <x:f>N5+W6</x:f>
        <x:v>4225260</x:v>
      </x:c>
      <x:c r="O6" s="13" t="n">
        <x:f>O5+B6+'税务台账'!C6-K6</x:f>
        <x:v>1400000</x:v>
      </x:c>
      <x:c r="P6" s="13" t="n">
        <x:f>P5+L6-C6</x:f>
        <x:v>1800000</x:v>
      </x:c>
      <x:c r="Q6" s="13" t="n">
        <x:f>Q5-G6</x:f>
        <x:v>25640000</x:v>
      </x:c>
      <x:c r="R6" s="13" t="n">
        <x:v>7400000</x:v>
      </x:c>
      <x:c r="S6" s="13" t="n">
        <x:f>S5+J6-V6</x:f>
        <x:v>25665260</x:v>
      </x:c>
      <x:c r="T6" s="13" t="n">
        <x:f>SUM(N6:Q6)</x:f>
        <x:v>33065260</x:v>
      </x:c>
      <x:c r="U6" s="13" t="n">
        <x:f>K6-L6-'税务台账'!E6-D6-E6-F6-H6-I6-M6</x:f>
        <x:v>548610</x:v>
      </x:c>
      <x:c r="V6" s="13" t="n">
        <x:v>0</x:v>
      </x:c>
      <x:c r="W6" s="13" t="n">
        <x:f>U6-V6</x:f>
        <x:v>548610</x:v>
      </x:c>
    </x:row>
    <x:row r="7" ht="38" customHeight="1">
      <x:c r="A7" s="12" t="str">
        <x:v>2023-03</x:v>
      </x:c>
      <x:c r="B7" s="13" t="n">
        <x:v>4284000</x:v>
      </x:c>
      <x:c r="C7" s="13" t="n">
        <x:v>1842120</x:v>
      </x:c>
      <x:c r="D7" s="13" t="n">
        <x:v>520000</x:v>
      </x:c>
      <x:c r="E7" s="13" t="n">
        <x:v>265200</x:v>
      </x:c>
      <x:c r="F7" s="13" t="n">
        <x:v>320000</x:v>
      </x:c>
      <x:c r="G7" s="13" t="n">
        <x:v>180000</x:v>
      </x:c>
      <x:c r="H7" s="13" t="n">
        <x:v>25000</x:v>
      </x:c>
      <x:c r="I7" s="13" t="n">
        <x:v>282920</x:v>
      </x:c>
      <x:c r="J7" s="13" t="n">
        <x:f>B7-SUM(C7:I7)</x:f>
        <x:v>848760</x:v>
      </x:c>
      <x:c r="K7" s="13" t="n">
        <x:v>4840920</x:v>
      </x:c>
      <x:c r="L7" s="13" t="n">
        <x:v>1842120</x:v>
      </x:c>
      <x:c r="M7" s="13" t="n">
        <x:v>317444</x:v>
      </x:c>
      <x:c r="N7" s="13" t="n">
        <x:f>N6+W7</x:f>
        <x:v>5254020</x:v>
      </x:c>
      <x:c r="O7" s="13" t="n">
        <x:f>O6+B7+'税务台账'!C7-K7</x:f>
        <x:v>1400000</x:v>
      </x:c>
      <x:c r="P7" s="13" t="n">
        <x:f>P6+L7-C7</x:f>
        <x:v>1800000</x:v>
      </x:c>
      <x:c r="Q7" s="13" t="n">
        <x:f>Q6-G7</x:f>
        <x:v>25460000</x:v>
      </x:c>
      <x:c r="R7" s="13" t="n">
        <x:v>7400000</x:v>
      </x:c>
      <x:c r="S7" s="13" t="n">
        <x:f>S6+J7-V7</x:f>
        <x:v>26514020</x:v>
      </x:c>
      <x:c r="T7" s="13" t="n">
        <x:f>SUM(N7:Q7)</x:f>
        <x:v>33914020</x:v>
      </x:c>
      <x:c r="U7" s="13" t="n">
        <x:f>K7-L7-'税务台账'!E7-D7-E7-F7-H7-I7-M7</x:f>
        <x:v>1028760</x:v>
      </x:c>
      <x:c r="V7" s="13" t="n">
        <x:v>0</x:v>
      </x:c>
      <x:c r="W7" s="13" t="n">
        <x:f>U7-V7</x:f>
        <x:v>1028760</x:v>
      </x:c>
    </x:row>
    <x:row r="8" ht="38" customHeight="1">
      <x:c r="A8" s="12" t="str">
        <x:v>2023-04</x:v>
      </x:c>
      <x:c r="B8" s="13" t="n">
        <x:v>4452000</x:v>
      </x:c>
      <x:c r="C8" s="13" t="n">
        <x:v>1914360</x:v>
      </x:c>
      <x:c r="D8" s="13" t="n">
        <x:v>520000</x:v>
      </x:c>
      <x:c r="E8" s="13" t="n">
        <x:v>275600</x:v>
      </x:c>
      <x:c r="F8" s="13" t="n">
        <x:v>320000</x:v>
      </x:c>
      <x:c r="G8" s="13" t="n">
        <x:v>180000</x:v>
      </x:c>
      <x:c r="H8" s="13" t="n">
        <x:v>25000</x:v>
      </x:c>
      <x:c r="I8" s="13" t="n">
        <x:v>304260</x:v>
      </x:c>
      <x:c r="J8" s="13" t="n">
        <x:f>B8-SUM(C8:I8)</x:f>
        <x:v>912780</x:v>
      </x:c>
      <x:c r="K8" s="13" t="n">
        <x:v>5030760</x:v>
      </x:c>
      <x:c r="L8" s="13" t="n">
        <x:v>1914360</x:v>
      </x:c>
      <x:c r="M8" s="13" t="n">
        <x:v>329893</x:v>
      </x:c>
      <x:c r="N8" s="13" t="n">
        <x:f>N7+W8</x:f>
        <x:v>6346800</x:v>
      </x:c>
      <x:c r="O8" s="13" t="n">
        <x:f>O7+B8+'税务台账'!C8-K8</x:f>
        <x:v>1400000</x:v>
      </x:c>
      <x:c r="P8" s="13" t="n">
        <x:f>P7+L8-C8</x:f>
        <x:v>1800000</x:v>
      </x:c>
      <x:c r="Q8" s="13" t="n">
        <x:f>Q7-G8</x:f>
        <x:v>25280000</x:v>
      </x:c>
      <x:c r="R8" s="13" t="n">
        <x:v>7400000</x:v>
      </x:c>
      <x:c r="S8" s="13" t="n">
        <x:f>S7+J8-V8</x:f>
        <x:v>27426800</x:v>
      </x:c>
      <x:c r="T8" s="13" t="n">
        <x:f>SUM(N8:Q8)</x:f>
        <x:v>34826800</x:v>
      </x:c>
      <x:c r="U8" s="13" t="n">
        <x:f>K8-L8-'税务台账'!E8-D8-E8-F8-H8-I8-M8</x:f>
        <x:v>1092780</x:v>
      </x:c>
      <x:c r="V8" s="13" t="n">
        <x:v>0</x:v>
      </x:c>
      <x:c r="W8" s="13" t="n">
        <x:f>U8-V8</x:f>
        <x:v>1092780</x:v>
      </x:c>
    </x:row>
    <x:row r="9" ht="38" customHeight="1">
      <x:c r="A9" s="12" t="str">
        <x:v>2023-05</x:v>
      </x:c>
      <x:c r="B9" s="13" t="n">
        <x:v>4620000</x:v>
      </x:c>
      <x:c r="C9" s="13" t="n">
        <x:v>1986600</x:v>
      </x:c>
      <x:c r="D9" s="13" t="n">
        <x:v>520000</x:v>
      </x:c>
      <x:c r="E9" s="13" t="n">
        <x:v>286000</x:v>
      </x:c>
      <x:c r="F9" s="13" t="n">
        <x:v>320000</x:v>
      </x:c>
      <x:c r="G9" s="13" t="n">
        <x:v>180000</x:v>
      </x:c>
      <x:c r="H9" s="13" t="n">
        <x:v>25000</x:v>
      </x:c>
      <x:c r="I9" s="13" t="n">
        <x:v>325600</x:v>
      </x:c>
      <x:c r="J9" s="13" t="n">
        <x:f>B9-SUM(C9:I9)</x:f>
        <x:v>976800</x:v>
      </x:c>
      <x:c r="K9" s="13" t="n">
        <x:v>5220600</x:v>
      </x:c>
      <x:c r="L9" s="13" t="n">
        <x:v>1986600</x:v>
      </x:c>
      <x:c r="M9" s="13" t="n">
        <x:v>342342</x:v>
      </x:c>
      <x:c r="N9" s="13" t="n">
        <x:f>N8+W9</x:f>
        <x:v>7503600</x:v>
      </x:c>
      <x:c r="O9" s="13" t="n">
        <x:f>O8+B9+'税务台账'!C9-K9</x:f>
        <x:v>1400000</x:v>
      </x:c>
      <x:c r="P9" s="13" t="n">
        <x:f>P8+L9-C9</x:f>
        <x:v>1800000</x:v>
      </x:c>
      <x:c r="Q9" s="13" t="n">
        <x:f>Q8-G9</x:f>
        <x:v>25100000</x:v>
      </x:c>
      <x:c r="R9" s="13" t="n">
        <x:v>7400000</x:v>
      </x:c>
      <x:c r="S9" s="13" t="n">
        <x:f>S8+J9-V9</x:f>
        <x:v>28403600</x:v>
      </x:c>
      <x:c r="T9" s="13" t="n">
        <x:f>SUM(N9:Q9)</x:f>
        <x:v>35803600</x:v>
      </x:c>
      <x:c r="U9" s="13" t="n">
        <x:f>K9-L9-'税务台账'!E9-D9-E9-F9-H9-I9-M9</x:f>
        <x:v>1156800</x:v>
      </x:c>
      <x:c r="V9" s="13" t="n">
        <x:v>0</x:v>
      </x:c>
      <x:c r="W9" s="13" t="n">
        <x:f>U9-V9</x:f>
        <x:v>1156800</x:v>
      </x:c>
    </x:row>
    <x:row r="10" ht="38" customHeight="1">
      <x:c r="A10" s="12" t="str">
        <x:v>2023-06</x:v>
      </x:c>
      <x:c r="B10" s="13" t="n">
        <x:v>4410000</x:v>
      </x:c>
      <x:c r="C10" s="13" t="n">
        <x:v>1896300</x:v>
      </x:c>
      <x:c r="D10" s="13" t="n">
        <x:v>520000</x:v>
      </x:c>
      <x:c r="E10" s="13" t="n">
        <x:v>273000</x:v>
      </x:c>
      <x:c r="F10" s="13" t="n">
        <x:v>320000</x:v>
      </x:c>
      <x:c r="G10" s="13" t="n">
        <x:v>180000</x:v>
      </x:c>
      <x:c r="H10" s="13" t="n">
        <x:v>25000</x:v>
      </x:c>
      <x:c r="I10" s="13" t="n">
        <x:v>298925</x:v>
      </x:c>
      <x:c r="J10" s="13" t="n">
        <x:f>B10-SUM(C10:I10)</x:f>
        <x:v>896775</x:v>
      </x:c>
      <x:c r="K10" s="13" t="n">
        <x:v>4983300</x:v>
      </x:c>
      <x:c r="L10" s="13" t="n">
        <x:v>1896300</x:v>
      </x:c>
      <x:c r="M10" s="13" t="n">
        <x:v>326781</x:v>
      </x:c>
      <x:c r="N10" s="13" t="n">
        <x:f>N9+W10</x:f>
        <x:v>8580375</x:v>
      </x:c>
      <x:c r="O10" s="13" t="n">
        <x:f>O9+B10+'税务台账'!C10-K10</x:f>
        <x:v>1400000</x:v>
      </x:c>
      <x:c r="P10" s="13" t="n">
        <x:f>P9+L10-C10</x:f>
        <x:v>1800000</x:v>
      </x:c>
      <x:c r="Q10" s="13" t="n">
        <x:f>Q9-G10</x:f>
        <x:v>24920000</x:v>
      </x:c>
      <x:c r="R10" s="13" t="n">
        <x:v>7400000</x:v>
      </x:c>
      <x:c r="S10" s="13" t="n">
        <x:f>S9+J10-V10</x:f>
        <x:v>29300375</x:v>
      </x:c>
      <x:c r="T10" s="13" t="n">
        <x:f>SUM(N10:Q10)</x:f>
        <x:v>36700375</x:v>
      </x:c>
      <x:c r="U10" s="13" t="n">
        <x:f>K10-L10-'税务台账'!E10-D10-E10-F10-H10-I10-M10</x:f>
        <x:v>1076775</x:v>
      </x:c>
      <x:c r="V10" s="13" t="n">
        <x:v>0</x:v>
      </x:c>
      <x:c r="W10" s="13" t="n">
        <x:f>U10-V10</x:f>
        <x:v>1076775</x:v>
      </x:c>
    </x:row>
    <x:row r="11" ht="38" customHeight="1">
      <x:c r="A11" s="12" t="str">
        <x:v>2023-07</x:v>
      </x:c>
      <x:c r="B11" s="13" t="n">
        <x:v>4536000</x:v>
      </x:c>
      <x:c r="C11" s="13" t="n">
        <x:v>1950480</x:v>
      </x:c>
      <x:c r="D11" s="13" t="n">
        <x:v>520000</x:v>
      </x:c>
      <x:c r="E11" s="13" t="n">
        <x:v>280800</x:v>
      </x:c>
      <x:c r="F11" s="13" t="n">
        <x:v>320000</x:v>
      </x:c>
      <x:c r="G11" s="13" t="n">
        <x:v>180000</x:v>
      </x:c>
      <x:c r="H11" s="13" t="n">
        <x:v>25000</x:v>
      </x:c>
      <x:c r="I11" s="13" t="n">
        <x:v>314930</x:v>
      </x:c>
      <x:c r="J11" s="13" t="n">
        <x:f>B11-SUM(C11:I11)</x:f>
        <x:v>944790</x:v>
      </x:c>
      <x:c r="K11" s="13" t="n">
        <x:v>5125680</x:v>
      </x:c>
      <x:c r="L11" s="13" t="n">
        <x:v>1950480</x:v>
      </x:c>
      <x:c r="M11" s="13" t="n">
        <x:v>336118</x:v>
      </x:c>
      <x:c r="N11" s="13" t="n">
        <x:f>N10+W11</x:f>
        <x:v>9705165</x:v>
      </x:c>
      <x:c r="O11" s="13" t="n">
        <x:f>O10+B11+'税务台账'!C11-K11</x:f>
        <x:v>1400000</x:v>
      </x:c>
      <x:c r="P11" s="13" t="n">
        <x:f>P10+L11-C11</x:f>
        <x:v>1800000</x:v>
      </x:c>
      <x:c r="Q11" s="13" t="n">
        <x:f>Q10-G11</x:f>
        <x:v>24740000</x:v>
      </x:c>
      <x:c r="R11" s="13" t="n">
        <x:v>7400000</x:v>
      </x:c>
      <x:c r="S11" s="13" t="n">
        <x:f>S10+J11-V11</x:f>
        <x:v>30245165</x:v>
      </x:c>
      <x:c r="T11" s="13" t="n">
        <x:f>SUM(N11:Q11)</x:f>
        <x:v>37645165</x:v>
      </x:c>
      <x:c r="U11" s="13" t="n">
        <x:f>K11-L11-'税务台账'!E11-D11-E11-F11-H11-I11-M11</x:f>
        <x:v>1124790</x:v>
      </x:c>
      <x:c r="V11" s="13" t="n">
        <x:v>0</x:v>
      </x:c>
      <x:c r="W11" s="13" t="n">
        <x:f>U11-V11</x:f>
        <x:v>1124790</x:v>
      </x:c>
    </x:row>
    <x:row r="12" ht="38" customHeight="1">
      <x:c r="A12" s="12" t="str">
        <x:v>2023-08</x:v>
      </x:c>
      <x:c r="B12" s="13" t="n">
        <x:v>4536000</x:v>
      </x:c>
      <x:c r="C12" s="13" t="n">
        <x:v>1950480</x:v>
      </x:c>
      <x:c r="D12" s="13" t="n">
        <x:v>520000</x:v>
      </x:c>
      <x:c r="E12" s="13" t="n">
        <x:v>280800</x:v>
      </x:c>
      <x:c r="F12" s="13" t="n">
        <x:v>320000</x:v>
      </x:c>
      <x:c r="G12" s="13" t="n">
        <x:v>180000</x:v>
      </x:c>
      <x:c r="H12" s="13" t="n">
        <x:v>25000</x:v>
      </x:c>
      <x:c r="I12" s="13" t="n">
        <x:v>314930</x:v>
      </x:c>
      <x:c r="J12" s="13" t="n">
        <x:f>B12-SUM(C12:I12)</x:f>
        <x:v>944790</x:v>
      </x:c>
      <x:c r="K12" s="13" t="n">
        <x:v>5125680</x:v>
      </x:c>
      <x:c r="L12" s="13" t="n">
        <x:v>1950480</x:v>
      </x:c>
      <x:c r="M12" s="13" t="n">
        <x:v>336118</x:v>
      </x:c>
      <x:c r="N12" s="13" t="n">
        <x:f>N11+W12</x:f>
        <x:v>10829955</x:v>
      </x:c>
      <x:c r="O12" s="13" t="n">
        <x:f>O11+B12+'税务台账'!C12-K12</x:f>
        <x:v>1400000</x:v>
      </x:c>
      <x:c r="P12" s="13" t="n">
        <x:f>P11+L12-C12</x:f>
        <x:v>1800000</x:v>
      </x:c>
      <x:c r="Q12" s="13" t="n">
        <x:f>Q11-G12</x:f>
        <x:v>24560000</x:v>
      </x:c>
      <x:c r="R12" s="13" t="n">
        <x:v>7400000</x:v>
      </x:c>
      <x:c r="S12" s="13" t="n">
        <x:f>S11+J12-V12</x:f>
        <x:v>31189955</x:v>
      </x:c>
      <x:c r="T12" s="13" t="n">
        <x:f>SUM(N12:Q12)</x:f>
        <x:v>38589955</x:v>
      </x:c>
      <x:c r="U12" s="13" t="n">
        <x:f>K12-L12-'税务台账'!E12-D12-E12-F12-H12-I12-M12</x:f>
        <x:v>1124790</x:v>
      </x:c>
      <x:c r="V12" s="13" t="n">
        <x:v>0</x:v>
      </x:c>
      <x:c r="W12" s="13" t="n">
        <x:f>U12-V12</x:f>
        <x:v>1124790</x:v>
      </x:c>
    </x:row>
    <x:row r="13" ht="38" customHeight="1">
      <x:c r="A13" s="12" t="str">
        <x:v>2023-09</x:v>
      </x:c>
      <x:c r="B13" s="13" t="n">
        <x:v>4368000</x:v>
      </x:c>
      <x:c r="C13" s="13" t="n">
        <x:v>1878240</x:v>
      </x:c>
      <x:c r="D13" s="13" t="n">
        <x:v>520000</x:v>
      </x:c>
      <x:c r="E13" s="13" t="n">
        <x:v>270400</x:v>
      </x:c>
      <x:c r="F13" s="13" t="n">
        <x:v>320000</x:v>
      </x:c>
      <x:c r="G13" s="13" t="n">
        <x:v>180000</x:v>
      </x:c>
      <x:c r="H13" s="13" t="n">
        <x:v>25000</x:v>
      </x:c>
      <x:c r="I13" s="13" t="n">
        <x:v>293590</x:v>
      </x:c>
      <x:c r="J13" s="13" t="n">
        <x:f>B13-SUM(C13:I13)</x:f>
        <x:v>880770</x:v>
      </x:c>
      <x:c r="K13" s="13" t="n">
        <x:v>4935840</x:v>
      </x:c>
      <x:c r="L13" s="13" t="n">
        <x:v>1878240</x:v>
      </x:c>
      <x:c r="M13" s="13" t="n">
        <x:v>323669</x:v>
      </x:c>
      <x:c r="N13" s="13" t="n">
        <x:f>N12+W13</x:f>
        <x:v>11890725</x:v>
      </x:c>
      <x:c r="O13" s="13" t="n">
        <x:f>O12+B13+'税务台账'!C13-K13</x:f>
        <x:v>1400000</x:v>
      </x:c>
      <x:c r="P13" s="13" t="n">
        <x:f>P12+L13-C13</x:f>
        <x:v>1800000</x:v>
      </x:c>
      <x:c r="Q13" s="13" t="n">
        <x:f>Q12-G13</x:f>
        <x:v>24380000</x:v>
      </x:c>
      <x:c r="R13" s="13" t="n">
        <x:v>7400000</x:v>
      </x:c>
      <x:c r="S13" s="13" t="n">
        <x:f>S12+J13-V13</x:f>
        <x:v>32070725</x:v>
      </x:c>
      <x:c r="T13" s="13" t="n">
        <x:f>SUM(N13:Q13)</x:f>
        <x:v>39470725</x:v>
      </x:c>
      <x:c r="U13" s="13" t="n">
        <x:f>K13-L13-'税务台账'!E13-D13-E13-F13-H13-I13-M13</x:f>
        <x:v>1060770</x:v>
      </x:c>
      <x:c r="V13" s="13" t="n">
        <x:v>0</x:v>
      </x:c>
      <x:c r="W13" s="13" t="n">
        <x:f>U13-V13</x:f>
        <x:v>1060770</x:v>
      </x:c>
    </x:row>
    <x:row r="14" ht="38" customHeight="1">
      <x:c r="A14" s="12" t="str">
        <x:v>2023-10</x:v>
      </x:c>
      <x:c r="B14" s="13" t="n">
        <x:v>4284000</x:v>
      </x:c>
      <x:c r="C14" s="13" t="n">
        <x:v>1842120</x:v>
      </x:c>
      <x:c r="D14" s="13" t="n">
        <x:v>520000</x:v>
      </x:c>
      <x:c r="E14" s="13" t="n">
        <x:v>265200</x:v>
      </x:c>
      <x:c r="F14" s="13" t="n">
        <x:v>320000</x:v>
      </x:c>
      <x:c r="G14" s="13" t="n">
        <x:v>180000</x:v>
      </x:c>
      <x:c r="H14" s="13" t="n">
        <x:v>25000</x:v>
      </x:c>
      <x:c r="I14" s="13" t="n">
        <x:v>282920</x:v>
      </x:c>
      <x:c r="J14" s="13" t="n">
        <x:f>B14-SUM(C14:I14)</x:f>
        <x:v>848760</x:v>
      </x:c>
      <x:c r="K14" s="13" t="n">
        <x:v>4840920</x:v>
      </x:c>
      <x:c r="L14" s="13" t="n">
        <x:v>1842120</x:v>
      </x:c>
      <x:c r="M14" s="13" t="n">
        <x:v>317444</x:v>
      </x:c>
      <x:c r="N14" s="13" t="n">
        <x:f>N13+W14</x:f>
        <x:v>12919485</x:v>
      </x:c>
      <x:c r="O14" s="13" t="n">
        <x:f>O13+B14+'税务台账'!C14-K14</x:f>
        <x:v>1400000</x:v>
      </x:c>
      <x:c r="P14" s="13" t="n">
        <x:f>P13+L14-C14</x:f>
        <x:v>1800000</x:v>
      </x:c>
      <x:c r="Q14" s="13" t="n">
        <x:f>Q13-G14</x:f>
        <x:v>24200000</x:v>
      </x:c>
      <x:c r="R14" s="13" t="n">
        <x:v>7400000</x:v>
      </x:c>
      <x:c r="S14" s="13" t="n">
        <x:f>S13+J14-V14</x:f>
        <x:v>32919485</x:v>
      </x:c>
      <x:c r="T14" s="13" t="n">
        <x:f>SUM(N14:Q14)</x:f>
        <x:v>40319485</x:v>
      </x:c>
      <x:c r="U14" s="13" t="n">
        <x:f>K14-L14-'税务台账'!E14-D14-E14-F14-H14-I14-M14</x:f>
        <x:v>1028760</x:v>
      </x:c>
      <x:c r="V14" s="13" t="n">
        <x:v>0</x:v>
      </x:c>
      <x:c r="W14" s="13" t="n">
        <x:f>U14-V14</x:f>
        <x:v>1028760</x:v>
      </x:c>
    </x:row>
    <x:row r="15" ht="38" customHeight="1">
      <x:c r="A15" s="12" t="str">
        <x:v>2023-11</x:v>
      </x:c>
      <x:c r="B15" s="13" t="n">
        <x:v>4452000</x:v>
      </x:c>
      <x:c r="C15" s="13" t="n">
        <x:v>1914360</x:v>
      </x:c>
      <x:c r="D15" s="13" t="n">
        <x:v>520000</x:v>
      </x:c>
      <x:c r="E15" s="13" t="n">
        <x:v>275600</x:v>
      </x:c>
      <x:c r="F15" s="13" t="n">
        <x:v>320000</x:v>
      </x:c>
      <x:c r="G15" s="13" t="n">
        <x:v>180000</x:v>
      </x:c>
      <x:c r="H15" s="13" t="n">
        <x:v>25000</x:v>
      </x:c>
      <x:c r="I15" s="13" t="n">
        <x:v>304260</x:v>
      </x:c>
      <x:c r="J15" s="13" t="n">
        <x:f>B15-SUM(C15:I15)</x:f>
        <x:v>912780</x:v>
      </x:c>
      <x:c r="K15" s="13" t="n">
        <x:v>5030760</x:v>
      </x:c>
      <x:c r="L15" s="13" t="n">
        <x:v>1914360</x:v>
      </x:c>
      <x:c r="M15" s="13" t="n">
        <x:v>329893</x:v>
      </x:c>
      <x:c r="N15" s="13" t="n">
        <x:f>N14+W15</x:f>
        <x:v>14012265</x:v>
      </x:c>
      <x:c r="O15" s="13" t="n">
        <x:f>O14+B15+'税务台账'!C15-K15</x:f>
        <x:v>1400000</x:v>
      </x:c>
      <x:c r="P15" s="13" t="n">
        <x:f>P14+L15-C15</x:f>
        <x:v>1800000</x:v>
      </x:c>
      <x:c r="Q15" s="13" t="n">
        <x:f>Q14-G15</x:f>
        <x:v>24020000</x:v>
      </x:c>
      <x:c r="R15" s="13" t="n">
        <x:v>7400000</x:v>
      </x:c>
      <x:c r="S15" s="13" t="n">
        <x:f>S14+J15-V15</x:f>
        <x:v>33832265</x:v>
      </x:c>
      <x:c r="T15" s="13" t="n">
        <x:f>SUM(N15:Q15)</x:f>
        <x:v>41232265</x:v>
      </x:c>
      <x:c r="U15" s="13" t="n">
        <x:f>K15-L15-'税务台账'!E15-D15-E15-F15-H15-I15-M15</x:f>
        <x:v>1092780</x:v>
      </x:c>
      <x:c r="V15" s="13" t="n">
        <x:v>0</x:v>
      </x:c>
      <x:c r="W15" s="13" t="n">
        <x:f>U15-V15</x:f>
        <x:v>1092780</x:v>
      </x:c>
    </x:row>
    <x:row r="16" ht="38" customHeight="1">
      <x:c r="A16" s="12" t="str">
        <x:v>2023-12</x:v>
      </x:c>
      <x:c r="B16" s="13" t="n">
        <x:v>4620000</x:v>
      </x:c>
      <x:c r="C16" s="13" t="n">
        <x:v>1986600</x:v>
      </x:c>
      <x:c r="D16" s="13" t="n">
        <x:v>520000</x:v>
      </x:c>
      <x:c r="E16" s="13" t="n">
        <x:v>286000</x:v>
      </x:c>
      <x:c r="F16" s="13" t="n">
        <x:v>320000</x:v>
      </x:c>
      <x:c r="G16" s="13" t="n">
        <x:v>180000</x:v>
      </x:c>
      <x:c r="H16" s="13" t="n">
        <x:v>25000</x:v>
      </x:c>
      <x:c r="I16" s="13" t="n">
        <x:v>325600</x:v>
      </x:c>
      <x:c r="J16" s="13" t="n">
        <x:f>B16-SUM(C16:I16)</x:f>
        <x:v>976800</x:v>
      </x:c>
      <x:c r="K16" s="13" t="n">
        <x:v>5220600</x:v>
      </x:c>
      <x:c r="L16" s="13" t="n">
        <x:v>1986600</x:v>
      </x:c>
      <x:c r="M16" s="13" t="n">
        <x:v>342342</x:v>
      </x:c>
      <x:c r="N16" s="13" t="n">
        <x:f>N15+W16</x:f>
        <x:v>4000000</x:v>
      </x:c>
      <x:c r="O16" s="13" t="n">
        <x:f>O15+B16+'税务台账'!C16-K16</x:f>
        <x:v>1400000</x:v>
      </x:c>
      <x:c r="P16" s="13" t="n">
        <x:f>P15+L16-C16</x:f>
        <x:v>1800000</x:v>
      </x:c>
      <x:c r="Q16" s="13" t="n">
        <x:f>Q15-G16</x:f>
        <x:v>23840000</x:v>
      </x:c>
      <x:c r="R16" s="13" t="n">
        <x:v>7400000</x:v>
      </x:c>
      <x:c r="S16" s="13" t="n">
        <x:f>S15+J16-V16</x:f>
        <x:v>23640000</x:v>
      </x:c>
      <x:c r="T16" s="13" t="n">
        <x:f>SUM(N16:Q16)</x:f>
        <x:v>31040000</x:v>
      </x:c>
      <x:c r="U16" s="13" t="n">
        <x:f>K16-L16-'税务台账'!E16-D16-E16-F16-H16-I16-M16</x:f>
        <x:v>1156800</x:v>
      </x:c>
      <x:c r="V16" s="13" t="n">
        <x:v>11169065</x:v>
      </x:c>
      <x:c r="W16" s="13" t="n">
        <x:f>U16-V16</x:f>
        <x:v>-10012265</x:v>
      </x:c>
    </x:row>
    <x:row r="17" ht="38" customHeight="1">
      <x:c r="A17" s="12" t="str">
        <x:v>2024-01</x:v>
      </x:c>
      <x:c r="B17" s="13" t="n">
        <x:v>3628800</x:v>
      </x:c>
      <x:c r="C17" s="13" t="n">
        <x:v>1560384</x:v>
      </x:c>
      <x:c r="D17" s="13" t="n">
        <x:v>520000</x:v>
      </x:c>
      <x:c r="E17" s="13" t="n">
        <x:v>208000</x:v>
      </x:c>
      <x:c r="F17" s="13" t="n">
        <x:v>320000</x:v>
      </x:c>
      <x:c r="G17" s="13" t="n">
        <x:v>180000</x:v>
      </x:c>
      <x:c r="H17" s="13" t="n">
        <x:v>25000</x:v>
      </x:c>
      <x:c r="I17" s="13" t="n">
        <x:v>203854</x:v>
      </x:c>
      <x:c r="J17" s="13" t="n">
        <x:f>B17-SUM(C17:I17)</x:f>
        <x:v>611562</x:v>
      </x:c>
      <x:c r="K17" s="13" t="n">
        <x:v>4100544</x:v>
      </x:c>
      <x:c r="L17" s="13" t="n">
        <x:v>1560384</x:v>
      </x:c>
      <x:c r="M17" s="13" t="n">
        <x:v>268894</x:v>
      </x:c>
      <x:c r="N17" s="13" t="n">
        <x:f>N16+W17</x:f>
        <x:v>4791562</x:v>
      </x:c>
      <x:c r="O17" s="13" t="n">
        <x:f>O16+B17+'税务台账'!C17-K17</x:f>
        <x:v>1400000</x:v>
      </x:c>
      <x:c r="P17" s="13" t="n">
        <x:f>P16+L17-C17</x:f>
        <x:v>1800000</x:v>
      </x:c>
      <x:c r="Q17" s="13" t="n">
        <x:f>Q16-G17</x:f>
        <x:v>23660000</x:v>
      </x:c>
      <x:c r="R17" s="13" t="n">
        <x:v>7400000</x:v>
      </x:c>
      <x:c r="S17" s="13" t="n">
        <x:f>S16+J17-V17</x:f>
        <x:v>24251562</x:v>
      </x:c>
      <x:c r="T17" s="13" t="n">
        <x:f>SUM(N17:Q17)</x:f>
        <x:v>31651562</x:v>
      </x:c>
      <x:c r="U17" s="13" t="n">
        <x:f>K17-L17-'税务台账'!E17-D17-E17-F17-H17-I17-M17</x:f>
        <x:v>791562</x:v>
      </x:c>
      <x:c r="V17" s="13" t="n">
        <x:v>0</x:v>
      </x:c>
      <x:c r="W17" s="13" t="n">
        <x:f>U17-V17</x:f>
        <x:v>791562</x:v>
      </x:c>
    </x:row>
    <x:row r="18" ht="38" customHeight="1">
      <x:c r="A18" s="12" t="str">
        <x:v>2024-02</x:v>
      </x:c>
      <x:c r="B18" s="13" t="n">
        <x:v>3265920</x:v>
      </x:c>
      <x:c r="C18" s="13" t="n">
        <x:v>1404346</x:v>
      </x:c>
      <x:c r="D18" s="13" t="n">
        <x:v>520000</x:v>
      </x:c>
      <x:c r="E18" s="13" t="n">
        <x:v>187200</x:v>
      </x:c>
      <x:c r="F18" s="13" t="n">
        <x:v>320000</x:v>
      </x:c>
      <x:c r="G18" s="13" t="n">
        <x:v>180000</x:v>
      </x:c>
      <x:c r="H18" s="13" t="n">
        <x:v>25000</x:v>
      </x:c>
      <x:c r="I18" s="13" t="n">
        <x:v>157344</x:v>
      </x:c>
      <x:c r="J18" s="13" t="n">
        <x:f>B18-SUM(C18:I18)</x:f>
        <x:v>472030</x:v>
      </x:c>
      <x:c r="K18" s="13" t="n">
        <x:v>3690490</x:v>
      </x:c>
      <x:c r="L18" s="13" t="n">
        <x:v>1404346</x:v>
      </x:c>
      <x:c r="M18" s="13" t="n">
        <x:v>242005</x:v>
      </x:c>
      <x:c r="N18" s="13" t="n">
        <x:f>N17+W18</x:f>
        <x:v>5443592</x:v>
      </x:c>
      <x:c r="O18" s="13" t="n">
        <x:f>O17+B18+'税务台账'!C18-K18</x:f>
        <x:v>1400000</x:v>
      </x:c>
      <x:c r="P18" s="13" t="n">
        <x:f>P17+L18-C18</x:f>
        <x:v>1800000</x:v>
      </x:c>
      <x:c r="Q18" s="13" t="n">
        <x:f>Q17-G18</x:f>
        <x:v>23480000</x:v>
      </x:c>
      <x:c r="R18" s="13" t="n">
        <x:v>7400000</x:v>
      </x:c>
      <x:c r="S18" s="13" t="n">
        <x:f>S17+J18-V18</x:f>
        <x:v>24723592</x:v>
      </x:c>
      <x:c r="T18" s="13" t="n">
        <x:f>SUM(N18:Q18)</x:f>
        <x:v>32123592</x:v>
      </x:c>
      <x:c r="U18" s="13" t="n">
        <x:f>K18-L18-'税务台账'!E18-D18-E18-F18-H18-I18-M18</x:f>
        <x:v>652030</x:v>
      </x:c>
      <x:c r="V18" s="13" t="n">
        <x:v>0</x:v>
      </x:c>
      <x:c r="W18" s="13" t="n">
        <x:f>U18-V18</x:f>
        <x:v>652030</x:v>
      </x:c>
    </x:row>
    <x:row r="19" ht="38" customHeight="1">
      <x:c r="A19" s="12" t="str">
        <x:v>2024-03</x:v>
      </x:c>
      <x:c r="B19" s="13" t="n">
        <x:v>4626720</x:v>
      </x:c>
      <x:c r="C19" s="13" t="n">
        <x:v>1989490</x:v>
      </x:c>
      <x:c r="D19" s="13" t="n">
        <x:v>520000</x:v>
      </x:c>
      <x:c r="E19" s="13" t="n">
        <x:v>265200</x:v>
      </x:c>
      <x:c r="F19" s="13" t="n">
        <x:v>320000</x:v>
      </x:c>
      <x:c r="G19" s="13" t="n">
        <x:v>180000</x:v>
      </x:c>
      <x:c r="H19" s="13" t="n">
        <x:v>25000</x:v>
      </x:c>
      <x:c r="I19" s="13" t="n">
        <x:v>331758</x:v>
      </x:c>
      <x:c r="J19" s="13" t="n">
        <x:f>B19-SUM(C19:I19)</x:f>
        <x:v>995272</x:v>
      </x:c>
      <x:c r="K19" s="13" t="n">
        <x:v>5228194</x:v>
      </x:c>
      <x:c r="L19" s="13" t="n">
        <x:v>1989490</x:v>
      </x:c>
      <x:c r="M19" s="13" t="n">
        <x:v>342840</x:v>
      </x:c>
      <x:c r="N19" s="13" t="n">
        <x:f>N18+W19</x:f>
        <x:v>6618864</x:v>
      </x:c>
      <x:c r="O19" s="13" t="n">
        <x:f>O18+B19+'税务台账'!C19-K19</x:f>
        <x:v>1400000</x:v>
      </x:c>
      <x:c r="P19" s="13" t="n">
        <x:f>P18+L19-C19</x:f>
        <x:v>1800000</x:v>
      </x:c>
      <x:c r="Q19" s="13" t="n">
        <x:f>Q18-G19</x:f>
        <x:v>23300000</x:v>
      </x:c>
      <x:c r="R19" s="13" t="n">
        <x:v>7400000</x:v>
      </x:c>
      <x:c r="S19" s="13" t="n">
        <x:f>S18+J19-V19</x:f>
        <x:v>25718864</x:v>
      </x:c>
      <x:c r="T19" s="13" t="n">
        <x:f>SUM(N19:Q19)</x:f>
        <x:v>33118864</x:v>
      </x:c>
      <x:c r="U19" s="13" t="n">
        <x:f>K19-L19-'税务台账'!E19-D19-E19-F19-H19-I19-M19</x:f>
        <x:v>1175272</x:v>
      </x:c>
      <x:c r="V19" s="13" t="n">
        <x:v>0</x:v>
      </x:c>
      <x:c r="W19" s="13" t="n">
        <x:f>U19-V19</x:f>
        <x:v>1175272</x:v>
      </x:c>
    </x:row>
    <x:row r="20" ht="38" customHeight="1">
      <x:c r="A20" s="12" t="str">
        <x:v>2024-04</x:v>
      </x:c>
      <x:c r="B20" s="13" t="n">
        <x:v>4808160</x:v>
      </x:c>
      <x:c r="C20" s="13" t="n">
        <x:v>2067509</x:v>
      </x:c>
      <x:c r="D20" s="13" t="n">
        <x:v>520000</x:v>
      </x:c>
      <x:c r="E20" s="13" t="n">
        <x:v>275600</x:v>
      </x:c>
      <x:c r="F20" s="13" t="n">
        <x:v>320000</x:v>
      </x:c>
      <x:c r="G20" s="13" t="n">
        <x:v>180000</x:v>
      </x:c>
      <x:c r="H20" s="13" t="n">
        <x:v>25000</x:v>
      </x:c>
      <x:c r="I20" s="13" t="n">
        <x:v>355013</x:v>
      </x:c>
      <x:c r="J20" s="13" t="n">
        <x:f>B20-SUM(C20:I20)</x:f>
        <x:v>1065038</x:v>
      </x:c>
      <x:c r="K20" s="13" t="n">
        <x:v>5433221</x:v>
      </x:c>
      <x:c r="L20" s="13" t="n">
        <x:v>2067509</x:v>
      </x:c>
      <x:c r="M20" s="13" t="n">
        <x:v>356285</x:v>
      </x:c>
      <x:c r="N20" s="13" t="n">
        <x:f>N19+W20</x:f>
        <x:v>7863902</x:v>
      </x:c>
      <x:c r="O20" s="13" t="n">
        <x:f>O19+B20+'税务台账'!C20-K20</x:f>
        <x:v>1400000</x:v>
      </x:c>
      <x:c r="P20" s="13" t="n">
        <x:f>P19+L20-C20</x:f>
        <x:v>1800000</x:v>
      </x:c>
      <x:c r="Q20" s="13" t="n">
        <x:f>Q19-G20</x:f>
        <x:v>23120000</x:v>
      </x:c>
      <x:c r="R20" s="13" t="n">
        <x:v>7400000</x:v>
      </x:c>
      <x:c r="S20" s="13" t="n">
        <x:f>S19+J20-V20</x:f>
        <x:v>26783902</x:v>
      </x:c>
      <x:c r="T20" s="13" t="n">
        <x:f>SUM(N20:Q20)</x:f>
        <x:v>34183902</x:v>
      </x:c>
      <x:c r="U20" s="13" t="n">
        <x:f>K20-L20-'税务台账'!E20-D20-E20-F20-H20-I20-M20</x:f>
        <x:v>1245038</x:v>
      </x:c>
      <x:c r="V20" s="13" t="n">
        <x:v>0</x:v>
      </x:c>
      <x:c r="W20" s="13" t="n">
        <x:f>U20-V20</x:f>
        <x:v>1245038</x:v>
      </x:c>
    </x:row>
    <x:row r="21" ht="38" customHeight="1">
      <x:c r="A21" s="12" t="str">
        <x:v>2024-05</x:v>
      </x:c>
      <x:c r="B21" s="13" t="n">
        <x:v>4989600</x:v>
      </x:c>
      <x:c r="C21" s="13" t="n">
        <x:v>2145528</x:v>
      </x:c>
      <x:c r="D21" s="13" t="n">
        <x:v>520000</x:v>
      </x:c>
      <x:c r="E21" s="13" t="n">
        <x:v>286000</x:v>
      </x:c>
      <x:c r="F21" s="13" t="n">
        <x:v>320000</x:v>
      </x:c>
      <x:c r="G21" s="13" t="n">
        <x:v>180000</x:v>
      </x:c>
      <x:c r="H21" s="13" t="n">
        <x:v>25000</x:v>
      </x:c>
      <x:c r="I21" s="13" t="n">
        <x:v>378268</x:v>
      </x:c>
      <x:c r="J21" s="13" t="n">
        <x:f>B21-SUM(C21:I21)</x:f>
        <x:v>1134804</x:v>
      </x:c>
      <x:c r="K21" s="13" t="n">
        <x:v>5638248</x:v>
      </x:c>
      <x:c r="L21" s="13" t="n">
        <x:v>2145528</x:v>
      </x:c>
      <x:c r="M21" s="13" t="n">
        <x:v>369729</x:v>
      </x:c>
      <x:c r="N21" s="13" t="n">
        <x:f>N20+W21</x:f>
        <x:v>9178706</x:v>
      </x:c>
      <x:c r="O21" s="13" t="n">
        <x:f>O20+B21+'税务台账'!C21-K21</x:f>
        <x:v>1400000</x:v>
      </x:c>
      <x:c r="P21" s="13" t="n">
        <x:f>P20+L21-C21</x:f>
        <x:v>1800000</x:v>
      </x:c>
      <x:c r="Q21" s="13" t="n">
        <x:f>Q20-G21</x:f>
        <x:v>22940000</x:v>
      </x:c>
      <x:c r="R21" s="13" t="n">
        <x:v>7400000</x:v>
      </x:c>
      <x:c r="S21" s="13" t="n">
        <x:f>S20+J21-V21</x:f>
        <x:v>27918706</x:v>
      </x:c>
      <x:c r="T21" s="13" t="n">
        <x:f>SUM(N21:Q21)</x:f>
        <x:v>35318706</x:v>
      </x:c>
      <x:c r="U21" s="13" t="n">
        <x:f>K21-L21-'税务台账'!E21-D21-E21-F21-H21-I21-M21</x:f>
        <x:v>1314804</x:v>
      </x:c>
      <x:c r="V21" s="13" t="n">
        <x:v>0</x:v>
      </x:c>
      <x:c r="W21" s="13" t="n">
        <x:f>U21-V21</x:f>
        <x:v>1314804</x:v>
      </x:c>
    </x:row>
    <x:row r="22" ht="38" customHeight="1">
      <x:c r="A22" s="12" t="str">
        <x:v>2024-06</x:v>
      </x:c>
      <x:c r="B22" s="13" t="n">
        <x:v>4762800</x:v>
      </x:c>
      <x:c r="C22" s="13" t="n">
        <x:v>2048004</x:v>
      </x:c>
      <x:c r="D22" s="13" t="n">
        <x:v>520000</x:v>
      </x:c>
      <x:c r="E22" s="13" t="n">
        <x:v>273000</x:v>
      </x:c>
      <x:c r="F22" s="13" t="n">
        <x:v>320000</x:v>
      </x:c>
      <x:c r="G22" s="13" t="n">
        <x:v>180000</x:v>
      </x:c>
      <x:c r="H22" s="13" t="n">
        <x:v>25000</x:v>
      </x:c>
      <x:c r="I22" s="13" t="n">
        <x:v>349199</x:v>
      </x:c>
      <x:c r="J22" s="13" t="n">
        <x:f>B22-SUM(C22:I22)</x:f>
        <x:v>1047597</x:v>
      </x:c>
      <x:c r="K22" s="13" t="n">
        <x:v>5381964</x:v>
      </x:c>
      <x:c r="L22" s="13" t="n">
        <x:v>2048004</x:v>
      </x:c>
      <x:c r="M22" s="13" t="n">
        <x:v>352923</x:v>
      </x:c>
      <x:c r="N22" s="13" t="n">
        <x:f>N21+W22</x:f>
        <x:v>10406303</x:v>
      </x:c>
      <x:c r="O22" s="13" t="n">
        <x:f>O21+B22+'税务台账'!C22-K22</x:f>
        <x:v>1400000</x:v>
      </x:c>
      <x:c r="P22" s="13" t="n">
        <x:f>P21+L22-C22</x:f>
        <x:v>1800000</x:v>
      </x:c>
      <x:c r="Q22" s="13" t="n">
        <x:f>Q21-G22</x:f>
        <x:v>22760000</x:v>
      </x:c>
      <x:c r="R22" s="13" t="n">
        <x:v>7400000</x:v>
      </x:c>
      <x:c r="S22" s="13" t="n">
        <x:f>S21+J22-V22</x:f>
        <x:v>28966303</x:v>
      </x:c>
      <x:c r="T22" s="13" t="n">
        <x:f>SUM(N22:Q22)</x:f>
        <x:v>36366303</x:v>
      </x:c>
      <x:c r="U22" s="13" t="n">
        <x:f>K22-L22-'税务台账'!E22-D22-E22-F22-H22-I22-M22</x:f>
        <x:v>1227597</x:v>
      </x:c>
      <x:c r="V22" s="13" t="n">
        <x:v>0</x:v>
      </x:c>
      <x:c r="W22" s="13" t="n">
        <x:f>U22-V22</x:f>
        <x:v>1227597</x:v>
      </x:c>
    </x:row>
    <x:row r="23" ht="38" customHeight="1">
      <x:c r="A23" s="12" t="str">
        <x:v>2024-07</x:v>
      </x:c>
      <x:c r="B23" s="13" t="n">
        <x:v>4898880</x:v>
      </x:c>
      <x:c r="C23" s="13" t="n">
        <x:v>2106518</x:v>
      </x:c>
      <x:c r="D23" s="13" t="n">
        <x:v>520000</x:v>
      </x:c>
      <x:c r="E23" s="13" t="n">
        <x:v>280800</x:v>
      </x:c>
      <x:c r="F23" s="13" t="n">
        <x:v>320000</x:v>
      </x:c>
      <x:c r="G23" s="13" t="n">
        <x:v>180000</x:v>
      </x:c>
      <x:c r="H23" s="13" t="n">
        <x:v>25000</x:v>
      </x:c>
      <x:c r="I23" s="13" t="n">
        <x:v>366640</x:v>
      </x:c>
      <x:c r="J23" s="13" t="n">
        <x:f>B23-SUM(C23:I23)</x:f>
        <x:v>1099922</x:v>
      </x:c>
      <x:c r="K23" s="13" t="n">
        <x:v>5535734</x:v>
      </x:c>
      <x:c r="L23" s="13" t="n">
        <x:v>2106518</x:v>
      </x:c>
      <x:c r="M23" s="13" t="n">
        <x:v>363007</x:v>
      </x:c>
      <x:c r="N23" s="13" t="n">
        <x:f>N22+W23</x:f>
        <x:v>11686225</x:v>
      </x:c>
      <x:c r="O23" s="13" t="n">
        <x:f>O22+B23+'税务台账'!C23-K23</x:f>
        <x:v>1400000</x:v>
      </x:c>
      <x:c r="P23" s="13" t="n">
        <x:f>P22+L23-C23</x:f>
        <x:v>1800000</x:v>
      </x:c>
      <x:c r="Q23" s="13" t="n">
        <x:f>Q22-G23</x:f>
        <x:v>22580000</x:v>
      </x:c>
      <x:c r="R23" s="13" t="n">
        <x:v>7400000</x:v>
      </x:c>
      <x:c r="S23" s="13" t="n">
        <x:f>S22+J23-V23</x:f>
        <x:v>30066225</x:v>
      </x:c>
      <x:c r="T23" s="13" t="n">
        <x:f>SUM(N23:Q23)</x:f>
        <x:v>37466225</x:v>
      </x:c>
      <x:c r="U23" s="13" t="n">
        <x:f>K23-L23-'税务台账'!E23-D23-E23-F23-H23-I23-M23</x:f>
        <x:v>1279922</x:v>
      </x:c>
      <x:c r="V23" s="13" t="n">
        <x:v>0</x:v>
      </x:c>
      <x:c r="W23" s="13" t="n">
        <x:f>U23-V23</x:f>
        <x:v>1279922</x:v>
      </x:c>
    </x:row>
    <x:row r="24" ht="38" customHeight="1">
      <x:c r="A24" s="12" t="str">
        <x:v>2024-08</x:v>
      </x:c>
      <x:c r="B24" s="13" t="n">
        <x:v>4898880</x:v>
      </x:c>
      <x:c r="C24" s="13" t="n">
        <x:v>2106518</x:v>
      </x:c>
      <x:c r="D24" s="13" t="n">
        <x:v>520000</x:v>
      </x:c>
      <x:c r="E24" s="13" t="n">
        <x:v>280800</x:v>
      </x:c>
      <x:c r="F24" s="13" t="n">
        <x:v>320000</x:v>
      </x:c>
      <x:c r="G24" s="13" t="n">
        <x:v>180000</x:v>
      </x:c>
      <x:c r="H24" s="13" t="n">
        <x:v>25000</x:v>
      </x:c>
      <x:c r="I24" s="13" t="n">
        <x:v>366640</x:v>
      </x:c>
      <x:c r="J24" s="13" t="n">
        <x:f>B24-SUM(C24:I24)</x:f>
        <x:v>1099922</x:v>
      </x:c>
      <x:c r="K24" s="13" t="n">
        <x:v>5535734</x:v>
      </x:c>
      <x:c r="L24" s="13" t="n">
        <x:v>2106518</x:v>
      </x:c>
      <x:c r="M24" s="13" t="n">
        <x:v>363007</x:v>
      </x:c>
      <x:c r="N24" s="13" t="n">
        <x:f>N23+W24</x:f>
        <x:v>12966147</x:v>
      </x:c>
      <x:c r="O24" s="13" t="n">
        <x:f>O23+B24+'税务台账'!C24-K24</x:f>
        <x:v>1400000</x:v>
      </x:c>
      <x:c r="P24" s="13" t="n">
        <x:f>P23+L24-C24</x:f>
        <x:v>1800000</x:v>
      </x:c>
      <x:c r="Q24" s="13" t="n">
        <x:f>Q23-G24</x:f>
        <x:v>22400000</x:v>
      </x:c>
      <x:c r="R24" s="13" t="n">
        <x:v>7400000</x:v>
      </x:c>
      <x:c r="S24" s="13" t="n">
        <x:f>S23+J24-V24</x:f>
        <x:v>31166147</x:v>
      </x:c>
      <x:c r="T24" s="13" t="n">
        <x:f>SUM(N24:Q24)</x:f>
        <x:v>38566147</x:v>
      </x:c>
      <x:c r="U24" s="13" t="n">
        <x:f>K24-L24-'税务台账'!E24-D24-E24-F24-H24-I24-M24</x:f>
        <x:v>1279922</x:v>
      </x:c>
      <x:c r="V24" s="13" t="n">
        <x:v>0</x:v>
      </x:c>
      <x:c r="W24" s="13" t="n">
        <x:f>U24-V24</x:f>
        <x:v>1279922</x:v>
      </x:c>
    </x:row>
    <x:row r="25" ht="38" customHeight="1">
      <x:c r="A25" s="12" t="str">
        <x:v>2024-09</x:v>
      </x:c>
      <x:c r="B25" s="13" t="n">
        <x:v>4717440</x:v>
      </x:c>
      <x:c r="C25" s="13" t="n">
        <x:v>2028499</x:v>
      </x:c>
      <x:c r="D25" s="13" t="n">
        <x:v>520000</x:v>
      </x:c>
      <x:c r="E25" s="13" t="n">
        <x:v>270400</x:v>
      </x:c>
      <x:c r="F25" s="13" t="n">
        <x:v>320000</x:v>
      </x:c>
      <x:c r="G25" s="13" t="n">
        <x:v>180000</x:v>
      </x:c>
      <x:c r="H25" s="13" t="n">
        <x:v>25000</x:v>
      </x:c>
      <x:c r="I25" s="13" t="n">
        <x:v>343385</x:v>
      </x:c>
      <x:c r="J25" s="13" t="n">
        <x:f>B25-SUM(C25:I25)</x:f>
        <x:v>1030156</x:v>
      </x:c>
      <x:c r="K25" s="13" t="n">
        <x:v>5330707</x:v>
      </x:c>
      <x:c r="L25" s="13" t="n">
        <x:v>2028499</x:v>
      </x:c>
      <x:c r="M25" s="13" t="n">
        <x:v>349562</x:v>
      </x:c>
      <x:c r="N25" s="13" t="n">
        <x:f>N24+W25</x:f>
        <x:v>14176303</x:v>
      </x:c>
      <x:c r="O25" s="13" t="n">
        <x:f>O24+B25+'税务台账'!C25-K25</x:f>
        <x:v>1400000</x:v>
      </x:c>
      <x:c r="P25" s="13" t="n">
        <x:f>P24+L25-C25</x:f>
        <x:v>1800000</x:v>
      </x:c>
      <x:c r="Q25" s="13" t="n">
        <x:f>Q24-G25</x:f>
        <x:v>22220000</x:v>
      </x:c>
      <x:c r="R25" s="13" t="n">
        <x:v>7400000</x:v>
      </x:c>
      <x:c r="S25" s="13" t="n">
        <x:f>S24+J25-V25</x:f>
        <x:v>32196303</x:v>
      </x:c>
      <x:c r="T25" s="13" t="n">
        <x:f>SUM(N25:Q25)</x:f>
        <x:v>39596303</x:v>
      </x:c>
      <x:c r="U25" s="13" t="n">
        <x:f>K25-L25-'税务台账'!E25-D25-E25-F25-H25-I25-M25</x:f>
        <x:v>1210156</x:v>
      </x:c>
      <x:c r="V25" s="13" t="n">
        <x:v>0</x:v>
      </x:c>
      <x:c r="W25" s="13" t="n">
        <x:f>U25-V25</x:f>
        <x:v>1210156</x:v>
      </x:c>
    </x:row>
    <x:row r="26" ht="38" customHeight="1">
      <x:c r="A26" s="12" t="str">
        <x:v>2024-10</x:v>
      </x:c>
      <x:c r="B26" s="13" t="n">
        <x:v>4626720</x:v>
      </x:c>
      <x:c r="C26" s="13" t="n">
        <x:v>1989490</x:v>
      </x:c>
      <x:c r="D26" s="13" t="n">
        <x:v>520000</x:v>
      </x:c>
      <x:c r="E26" s="13" t="n">
        <x:v>265200</x:v>
      </x:c>
      <x:c r="F26" s="13" t="n">
        <x:v>320000</x:v>
      </x:c>
      <x:c r="G26" s="13" t="n">
        <x:v>180000</x:v>
      </x:c>
      <x:c r="H26" s="13" t="n">
        <x:v>25000</x:v>
      </x:c>
      <x:c r="I26" s="13" t="n">
        <x:v>331758</x:v>
      </x:c>
      <x:c r="J26" s="13" t="n">
        <x:f>B26-SUM(C26:I26)</x:f>
        <x:v>995272</x:v>
      </x:c>
      <x:c r="K26" s="13" t="n">
        <x:v>5228194</x:v>
      </x:c>
      <x:c r="L26" s="13" t="n">
        <x:v>1989490</x:v>
      </x:c>
      <x:c r="M26" s="13" t="n">
        <x:v>342840</x:v>
      </x:c>
      <x:c r="N26" s="13" t="n">
        <x:f>N25+W26</x:f>
        <x:v>15351575</x:v>
      </x:c>
      <x:c r="O26" s="13" t="n">
        <x:f>O25+B26+'税务台账'!C26-K26</x:f>
        <x:v>1400000</x:v>
      </x:c>
      <x:c r="P26" s="13" t="n">
        <x:f>P25+L26-C26</x:f>
        <x:v>1800000</x:v>
      </x:c>
      <x:c r="Q26" s="13" t="n">
        <x:f>Q25-G26</x:f>
        <x:v>22040000</x:v>
      </x:c>
      <x:c r="R26" s="13" t="n">
        <x:v>7400000</x:v>
      </x:c>
      <x:c r="S26" s="13" t="n">
        <x:f>S25+J26-V26</x:f>
        <x:v>33191575</x:v>
      </x:c>
      <x:c r="T26" s="13" t="n">
        <x:f>SUM(N26:Q26)</x:f>
        <x:v>40591575</x:v>
      </x:c>
      <x:c r="U26" s="13" t="n">
        <x:f>K26-L26-'税务台账'!E26-D26-E26-F26-H26-I26-M26</x:f>
        <x:v>1175272</x:v>
      </x:c>
      <x:c r="V26" s="13" t="n">
        <x:v>0</x:v>
      </x:c>
      <x:c r="W26" s="13" t="n">
        <x:f>U26-V26</x:f>
        <x:v>1175272</x:v>
      </x:c>
    </x:row>
    <x:row r="27" ht="38" customHeight="1">
      <x:c r="A27" s="12" t="str">
        <x:v>2024-11</x:v>
      </x:c>
      <x:c r="B27" s="13" t="n">
        <x:v>4808160</x:v>
      </x:c>
      <x:c r="C27" s="13" t="n">
        <x:v>2067509</x:v>
      </x:c>
      <x:c r="D27" s="13" t="n">
        <x:v>520000</x:v>
      </x:c>
      <x:c r="E27" s="13" t="n">
        <x:v>275600</x:v>
      </x:c>
      <x:c r="F27" s="13" t="n">
        <x:v>320000</x:v>
      </x:c>
      <x:c r="G27" s="13" t="n">
        <x:v>180000</x:v>
      </x:c>
      <x:c r="H27" s="13" t="n">
        <x:v>25000</x:v>
      </x:c>
      <x:c r="I27" s="13" t="n">
        <x:v>355013</x:v>
      </x:c>
      <x:c r="J27" s="13" t="n">
        <x:f>B27-SUM(C27:I27)</x:f>
        <x:v>1065038</x:v>
      </x:c>
      <x:c r="K27" s="13" t="n">
        <x:v>5433221</x:v>
      </x:c>
      <x:c r="L27" s="13" t="n">
        <x:v>2067509</x:v>
      </x:c>
      <x:c r="M27" s="13" t="n">
        <x:v>356285</x:v>
      </x:c>
      <x:c r="N27" s="13" t="n">
        <x:f>N26+W27</x:f>
        <x:v>16596613</x:v>
      </x:c>
      <x:c r="O27" s="13" t="n">
        <x:f>O26+B27+'税务台账'!C27-K27</x:f>
        <x:v>1400000</x:v>
      </x:c>
      <x:c r="P27" s="13" t="n">
        <x:f>P26+L27-C27</x:f>
        <x:v>1800000</x:v>
      </x:c>
      <x:c r="Q27" s="13" t="n">
        <x:f>Q26-G27</x:f>
        <x:v>21860000</x:v>
      </x:c>
      <x:c r="R27" s="13" t="n">
        <x:v>7400000</x:v>
      </x:c>
      <x:c r="S27" s="13" t="n">
        <x:f>S26+J27-V27</x:f>
        <x:v>34256613</x:v>
      </x:c>
      <x:c r="T27" s="13" t="n">
        <x:f>SUM(N27:Q27)</x:f>
        <x:v>41656613</x:v>
      </x:c>
      <x:c r="U27" s="13" t="n">
        <x:f>K27-L27-'税务台账'!E27-D27-E27-F27-H27-I27-M27</x:f>
        <x:v>1245038</x:v>
      </x:c>
      <x:c r="V27" s="13" t="n">
        <x:v>0</x:v>
      </x:c>
      <x:c r="W27" s="13" t="n">
        <x:f>U27-V27</x:f>
        <x:v>1245038</x:v>
      </x:c>
    </x:row>
    <x:row r="28" ht="38" customHeight="1">
      <x:c r="A28" s="12" t="str">
        <x:v>2024-12</x:v>
      </x:c>
      <x:c r="B28" s="13" t="n">
        <x:v>4989600</x:v>
      </x:c>
      <x:c r="C28" s="13" t="n">
        <x:v>2145528</x:v>
      </x:c>
      <x:c r="D28" s="13" t="n">
        <x:v>520000</x:v>
      </x:c>
      <x:c r="E28" s="13" t="n">
        <x:v>286000</x:v>
      </x:c>
      <x:c r="F28" s="13" t="n">
        <x:v>320000</x:v>
      </x:c>
      <x:c r="G28" s="13" t="n">
        <x:v>180000</x:v>
      </x:c>
      <x:c r="H28" s="13" t="n">
        <x:v>25000</x:v>
      </x:c>
      <x:c r="I28" s="13" t="n">
        <x:v>378268</x:v>
      </x:c>
      <x:c r="J28" s="13" t="n">
        <x:f>B28-SUM(C28:I28)</x:f>
        <x:v>1134804</x:v>
      </x:c>
      <x:c r="K28" s="13" t="n">
        <x:v>5638248</x:v>
      </x:c>
      <x:c r="L28" s="13" t="n">
        <x:v>2145528</x:v>
      </x:c>
      <x:c r="M28" s="13" t="n">
        <x:v>369729</x:v>
      </x:c>
      <x:c r="N28" s="13" t="n">
        <x:f>N27+W28</x:f>
        <x:v>4000000</x:v>
      </x:c>
      <x:c r="O28" s="13" t="n">
        <x:f>O27+B28+'税务台账'!C28-K28</x:f>
        <x:v>1400000</x:v>
      </x:c>
      <x:c r="P28" s="13" t="n">
        <x:f>P27+L28-C28</x:f>
        <x:v>1800000</x:v>
      </x:c>
      <x:c r="Q28" s="13" t="n">
        <x:f>Q27-G28</x:f>
        <x:v>21680000</x:v>
      </x:c>
      <x:c r="R28" s="13" t="n">
        <x:v>7400000</x:v>
      </x:c>
      <x:c r="S28" s="13" t="n">
        <x:f>S27+J28-V28</x:f>
        <x:v>21480000</x:v>
      </x:c>
      <x:c r="T28" s="13" t="n">
        <x:f>SUM(N28:Q28)</x:f>
        <x:v>28880000</x:v>
      </x:c>
      <x:c r="U28" s="13" t="n">
        <x:f>K28-L28-'税务台账'!E28-D28-E28-F28-H28-I28-M28</x:f>
        <x:v>1314804</x:v>
      </x:c>
      <x:c r="V28" s="13" t="n">
        <x:v>13911417</x:v>
      </x:c>
      <x:c r="W28" s="13" t="n">
        <x:f>U28-V28</x:f>
        <x:v>-12596613</x:v>
      </x:c>
    </x:row>
    <x:row r="29" ht="38" customHeight="1">
      <x:c r="A29" s="12" t="str">
        <x:v>2025-01</x:v>
      </x:c>
      <x:c r="B29" s="13" t="n">
        <x:v>3919104</x:v>
      </x:c>
      <x:c r="C29" s="13" t="n">
        <x:v>1685215</x:v>
      </x:c>
      <x:c r="D29" s="13" t="n">
        <x:v>520000</x:v>
      </x:c>
      <x:c r="E29" s="13" t="n">
        <x:v>208000</x:v>
      </x:c>
      <x:c r="F29" s="13" t="n">
        <x:v>320000</x:v>
      </x:c>
      <x:c r="G29" s="13" t="n">
        <x:v>180000</x:v>
      </x:c>
      <x:c r="H29" s="13" t="n">
        <x:v>25000</x:v>
      </x:c>
      <x:c r="I29" s="13" t="n">
        <x:v>245222</x:v>
      </x:c>
      <x:c r="J29" s="13" t="n">
        <x:f>B29-SUM(C29:I29)</x:f>
        <x:v>735667</x:v>
      </x:c>
      <x:c r="K29" s="13" t="n">
        <x:v>4428588</x:v>
      </x:c>
      <x:c r="L29" s="13" t="n">
        <x:v>1685215</x:v>
      </x:c>
      <x:c r="M29" s="13" t="n">
        <x:v>290406</x:v>
      </x:c>
      <x:c r="N29" s="13" t="n">
        <x:f>N28+W29</x:f>
        <x:v>4915667</x:v>
      </x:c>
      <x:c r="O29" s="13" t="n">
        <x:f>O28+B29+'税务台账'!C29-K29</x:f>
        <x:v>1400000</x:v>
      </x:c>
      <x:c r="P29" s="13" t="n">
        <x:f>P28+L29-C29</x:f>
        <x:v>1800000</x:v>
      </x:c>
      <x:c r="Q29" s="13" t="n">
        <x:f>Q28-G29</x:f>
        <x:v>21500000</x:v>
      </x:c>
      <x:c r="R29" s="13" t="n">
        <x:v>7400000</x:v>
      </x:c>
      <x:c r="S29" s="13" t="n">
        <x:f>S28+J29-V29</x:f>
        <x:v>22215667</x:v>
      </x:c>
      <x:c r="T29" s="13" t="n">
        <x:f>SUM(N29:Q29)</x:f>
        <x:v>29615667</x:v>
      </x:c>
      <x:c r="U29" s="13" t="n">
        <x:f>K29-L29-'税务台账'!E29-D29-E29-F29-H29-I29-M29</x:f>
        <x:v>915667</x:v>
      </x:c>
      <x:c r="V29" s="13" t="n">
        <x:v>0</x:v>
      </x:c>
      <x:c r="W29" s="13" t="n">
        <x:f>U29-V29</x:f>
        <x:v>915667</x:v>
      </x:c>
    </x:row>
    <x:row r="30" ht="38" customHeight="1">
      <x:c r="A30" s="12" t="str">
        <x:v>2025-02</x:v>
      </x:c>
      <x:c r="B30" s="13" t="n">
        <x:v>3527196</x:v>
      </x:c>
      <x:c r="C30" s="13" t="n">
        <x:v>1516694</x:v>
      </x:c>
      <x:c r="D30" s="13" t="n">
        <x:v>520000</x:v>
      </x:c>
      <x:c r="E30" s="13" t="n">
        <x:v>187200</x:v>
      </x:c>
      <x:c r="F30" s="13" t="n">
        <x:v>320000</x:v>
      </x:c>
      <x:c r="G30" s="13" t="n">
        <x:v>180000</x:v>
      </x:c>
      <x:c r="H30" s="13" t="n">
        <x:v>25000</x:v>
      </x:c>
      <x:c r="I30" s="13" t="n">
        <x:v>194576</x:v>
      </x:c>
      <x:c r="J30" s="13" t="n">
        <x:f>B30-SUM(C30:I30)</x:f>
        <x:v>583726</x:v>
      </x:c>
      <x:c r="K30" s="13" t="n">
        <x:v>3985731</x:v>
      </x:c>
      <x:c r="L30" s="13" t="n">
        <x:v>1516694</x:v>
      </x:c>
      <x:c r="M30" s="13" t="n">
        <x:v>261365</x:v>
      </x:c>
      <x:c r="N30" s="13" t="n">
        <x:f>N29+W30</x:f>
        <x:v>5679393</x:v>
      </x:c>
      <x:c r="O30" s="13" t="n">
        <x:f>O29+B30+'税务台账'!C30-K30</x:f>
        <x:v>1400000</x:v>
      </x:c>
      <x:c r="P30" s="13" t="n">
        <x:f>P29+L30-C30</x:f>
        <x:v>1800000</x:v>
      </x:c>
      <x:c r="Q30" s="13" t="n">
        <x:f>Q29-G30</x:f>
        <x:v>21320000</x:v>
      </x:c>
      <x:c r="R30" s="13" t="n">
        <x:v>7400000</x:v>
      </x:c>
      <x:c r="S30" s="13" t="n">
        <x:f>S29+J30-V30</x:f>
        <x:v>22799393</x:v>
      </x:c>
      <x:c r="T30" s="13" t="n">
        <x:f>SUM(N30:Q30)</x:f>
        <x:v>30199393</x:v>
      </x:c>
      <x:c r="U30" s="13" t="n">
        <x:f>K30-L30-'税务台账'!E30-D30-E30-F30-H30-I30-M30</x:f>
        <x:v>763726</x:v>
      </x:c>
      <x:c r="V30" s="13" t="n">
        <x:v>0</x:v>
      </x:c>
      <x:c r="W30" s="13" t="n">
        <x:f>U30-V30</x:f>
        <x:v>763726</x:v>
      </x:c>
    </x:row>
    <x:row r="31" ht="38" customHeight="1">
      <x:c r="A31" s="12" t="str">
        <x:v>2025-03</x:v>
      </x:c>
      <x:c r="B31" s="13" t="n">
        <x:v>4996860</x:v>
      </x:c>
      <x:c r="C31" s="13" t="n">
        <x:v>2148650</x:v>
      </x:c>
      <x:c r="D31" s="13" t="n">
        <x:v>520000</x:v>
      </x:c>
      <x:c r="E31" s="13" t="n">
        <x:v>265200</x:v>
      </x:c>
      <x:c r="F31" s="13" t="n">
        <x:v>320000</x:v>
      </x:c>
      <x:c r="G31" s="13" t="n">
        <x:v>180000</x:v>
      </x:c>
      <x:c r="H31" s="13" t="n">
        <x:v>25000</x:v>
      </x:c>
      <x:c r="I31" s="13" t="n">
        <x:v>384502</x:v>
      </x:c>
      <x:c r="J31" s="13" t="n">
        <x:f>B31-SUM(C31:I31)</x:f>
        <x:v>1153508</x:v>
      </x:c>
      <x:c r="K31" s="13" t="n">
        <x:v>5646452</x:v>
      </x:c>
      <x:c r="L31" s="13" t="n">
        <x:v>2148650</x:v>
      </x:c>
      <x:c r="M31" s="13" t="n">
        <x:v>370268</x:v>
      </x:c>
      <x:c r="N31" s="13" t="n">
        <x:f>N30+W31</x:f>
        <x:v>7012901</x:v>
      </x:c>
      <x:c r="O31" s="13" t="n">
        <x:f>O30+B31+'税务台账'!C31-K31</x:f>
        <x:v>1400000</x:v>
      </x:c>
      <x:c r="P31" s="13" t="n">
        <x:f>P30+L31-C31</x:f>
        <x:v>1800000</x:v>
      </x:c>
      <x:c r="Q31" s="13" t="n">
        <x:f>Q30-G31</x:f>
        <x:v>21140000</x:v>
      </x:c>
      <x:c r="R31" s="13" t="n">
        <x:v>7400000</x:v>
      </x:c>
      <x:c r="S31" s="13" t="n">
        <x:f>S30+J31-V31</x:f>
        <x:v>23952901</x:v>
      </x:c>
      <x:c r="T31" s="13" t="n">
        <x:f>SUM(N31:Q31)</x:f>
        <x:v>31352901</x:v>
      </x:c>
      <x:c r="U31" s="13" t="n">
        <x:f>K31-L31-'税务台账'!E31-D31-E31-F31-H31-I31-M31</x:f>
        <x:v>1333508</x:v>
      </x:c>
      <x:c r="V31" s="13" t="n">
        <x:v>0</x:v>
      </x:c>
      <x:c r="W31" s="13" t="n">
        <x:f>U31-V31</x:f>
        <x:v>1333508</x:v>
      </x:c>
    </x:row>
    <x:row r="32" ht="38" customHeight="1">
      <x:c r="A32" s="12" t="str">
        <x:v>2025-04</x:v>
      </x:c>
      <x:c r="B32" s="13" t="n">
        <x:v>5192808</x:v>
      </x:c>
      <x:c r="C32" s="13" t="n">
        <x:v>2232907</x:v>
      </x:c>
      <x:c r="D32" s="13" t="n">
        <x:v>520000</x:v>
      </x:c>
      <x:c r="E32" s="13" t="n">
        <x:v>275600</x:v>
      </x:c>
      <x:c r="F32" s="13" t="n">
        <x:v>320000</x:v>
      </x:c>
      <x:c r="G32" s="13" t="n">
        <x:v>180000</x:v>
      </x:c>
      <x:c r="H32" s="13" t="n">
        <x:v>25000</x:v>
      </x:c>
      <x:c r="I32" s="13" t="n">
        <x:v>409825</x:v>
      </x:c>
      <x:c r="J32" s="13" t="n">
        <x:f>B32-SUM(C32:I32)</x:f>
        <x:v>1229476</x:v>
      </x:c>
      <x:c r="K32" s="13" t="n">
        <x:v>5867873</x:v>
      </x:c>
      <x:c r="L32" s="13" t="n">
        <x:v>2232907</x:v>
      </x:c>
      <x:c r="M32" s="13" t="n">
        <x:v>384787</x:v>
      </x:c>
      <x:c r="N32" s="13" t="n">
        <x:f>N31+W32</x:f>
        <x:v>8422377</x:v>
      </x:c>
      <x:c r="O32" s="13" t="n">
        <x:f>O31+B32+'税务台账'!C32-K32</x:f>
        <x:v>1400000</x:v>
      </x:c>
      <x:c r="P32" s="13" t="n">
        <x:f>P31+L32-C32</x:f>
        <x:v>1800000</x:v>
      </x:c>
      <x:c r="Q32" s="13" t="n">
        <x:f>Q31-G32</x:f>
        <x:v>20960000</x:v>
      </x:c>
      <x:c r="R32" s="13" t="n">
        <x:v>7400000</x:v>
      </x:c>
      <x:c r="S32" s="13" t="n">
        <x:f>S31+J32-V32</x:f>
        <x:v>25182377</x:v>
      </x:c>
      <x:c r="T32" s="13" t="n">
        <x:f>SUM(N32:Q32)</x:f>
        <x:v>32582377</x:v>
      </x:c>
      <x:c r="U32" s="13" t="n">
        <x:f>K32-L32-'税务台账'!E32-D32-E32-F32-H32-I32-M32</x:f>
        <x:v>1409476</x:v>
      </x:c>
      <x:c r="V32" s="13" t="n">
        <x:v>0</x:v>
      </x:c>
      <x:c r="W32" s="13" t="n">
        <x:f>U32-V32</x:f>
        <x:v>1409476</x:v>
      </x:c>
    </x:row>
    <x:row r="33" ht="38" customHeight="1">
      <x:c r="A33" s="12" t="str">
        <x:v>2025-05</x:v>
      </x:c>
      <x:c r="B33" s="13" t="n">
        <x:v>5388768</x:v>
      </x:c>
      <x:c r="C33" s="13" t="n">
        <x:v>2317170</x:v>
      </x:c>
      <x:c r="D33" s="13" t="n">
        <x:v>520000</x:v>
      </x:c>
      <x:c r="E33" s="13" t="n">
        <x:v>286000</x:v>
      </x:c>
      <x:c r="F33" s="13" t="n">
        <x:v>320000</x:v>
      </x:c>
      <x:c r="G33" s="13" t="n">
        <x:v>180000</x:v>
      </x:c>
      <x:c r="H33" s="13" t="n">
        <x:v>25000</x:v>
      </x:c>
      <x:c r="I33" s="13" t="n">
        <x:v>435150</x:v>
      </x:c>
      <x:c r="J33" s="13" t="n">
        <x:f>B33-SUM(C33:I33)</x:f>
        <x:v>1305448</x:v>
      </x:c>
      <x:c r="K33" s="13" t="n">
        <x:v>6089308</x:v>
      </x:c>
      <x:c r="L33" s="13" t="n">
        <x:v>2317170</x:v>
      </x:c>
      <x:c r="M33" s="13" t="n">
        <x:v>399308</x:v>
      </x:c>
      <x:c r="N33" s="13" t="n">
        <x:f>N32+W33</x:f>
        <x:v>9907825</x:v>
      </x:c>
      <x:c r="O33" s="13" t="n">
        <x:f>O32+B33+'税务台账'!C33-K33</x:f>
        <x:v>1400000</x:v>
      </x:c>
      <x:c r="P33" s="13" t="n">
        <x:f>P32+L33-C33</x:f>
        <x:v>1800000</x:v>
      </x:c>
      <x:c r="Q33" s="13" t="n">
        <x:f>Q32-G33</x:f>
        <x:v>20780000</x:v>
      </x:c>
      <x:c r="R33" s="13" t="n">
        <x:v>7400000</x:v>
      </x:c>
      <x:c r="S33" s="13" t="n">
        <x:f>S32+J33-V33</x:f>
        <x:v>26487825</x:v>
      </x:c>
      <x:c r="T33" s="13" t="n">
        <x:f>SUM(N33:Q33)</x:f>
        <x:v>33887825</x:v>
      </x:c>
      <x:c r="U33" s="13" t="n">
        <x:f>K33-L33-'税务台账'!E33-D33-E33-F33-H33-I33-M33</x:f>
        <x:v>1485448</x:v>
      </x:c>
      <x:c r="V33" s="13" t="n">
        <x:v>0</x:v>
      </x:c>
      <x:c r="W33" s="13" t="n">
        <x:f>U33-V33</x:f>
        <x:v>1485448</x:v>
      </x:c>
    </x:row>
    <x:row r="34" ht="38" customHeight="1">
      <x:c r="A34" s="12" t="str">
        <x:v>2025-06</x:v>
      </x:c>
      <x:c r="B34" s="13" t="n">
        <x:v>5143824</x:v>
      </x:c>
      <x:c r="C34" s="13" t="n">
        <x:v>2211844</x:v>
      </x:c>
      <x:c r="D34" s="13" t="n">
        <x:v>520000</x:v>
      </x:c>
      <x:c r="E34" s="13" t="n">
        <x:v>273000</x:v>
      </x:c>
      <x:c r="F34" s="13" t="n">
        <x:v>320000</x:v>
      </x:c>
      <x:c r="G34" s="13" t="n">
        <x:v>180000</x:v>
      </x:c>
      <x:c r="H34" s="13" t="n">
        <x:v>25000</x:v>
      </x:c>
      <x:c r="I34" s="13" t="n">
        <x:v>403495</x:v>
      </x:c>
      <x:c r="J34" s="13" t="n">
        <x:f>B34-SUM(C34:I34)</x:f>
        <x:v>1210485</x:v>
      </x:c>
      <x:c r="K34" s="13" t="n">
        <x:v>5812521</x:v>
      </x:c>
      <x:c r="L34" s="13" t="n">
        <x:v>2211844</x:v>
      </x:c>
      <x:c r="M34" s="13" t="n">
        <x:v>381157</x:v>
      </x:c>
      <x:c r="N34" s="13" t="n">
        <x:f>N33+W34</x:f>
        <x:v>11298310</x:v>
      </x:c>
      <x:c r="O34" s="13" t="n">
        <x:f>O33+B34+'税务台账'!C34-K34</x:f>
        <x:v>1400000</x:v>
      </x:c>
      <x:c r="P34" s="13" t="n">
        <x:f>P33+L34-C34</x:f>
        <x:v>1800000</x:v>
      </x:c>
      <x:c r="Q34" s="13" t="n">
        <x:f>Q33-G34</x:f>
        <x:v>20600000</x:v>
      </x:c>
      <x:c r="R34" s="13" t="n">
        <x:v>7400000</x:v>
      </x:c>
      <x:c r="S34" s="13" t="n">
        <x:f>S33+J34-V34</x:f>
        <x:v>27698310</x:v>
      </x:c>
      <x:c r="T34" s="13" t="n">
        <x:f>SUM(N34:Q34)</x:f>
        <x:v>35098310</x:v>
      </x:c>
      <x:c r="U34" s="13" t="n">
        <x:f>K34-L34-'税务台账'!E34-D34-E34-F34-H34-I34-M34</x:f>
        <x:v>1390485</x:v>
      </x:c>
      <x:c r="V34" s="13" t="n">
        <x:v>0</x:v>
      </x:c>
      <x:c r="W34" s="13" t="n">
        <x:f>U34-V34</x:f>
        <x:v>1390485</x:v>
      </x:c>
    </x:row>
    <x:row r="35" ht="38" customHeight="1">
      <x:c r="A35" s="12" t="str">
        <x:v>2025-07</x:v>
      </x:c>
      <x:c r="B35" s="13" t="n">
        <x:v>5290788</x:v>
      </x:c>
      <x:c r="C35" s="13" t="n">
        <x:v>2275039</x:v>
      </x:c>
      <x:c r="D35" s="13" t="n">
        <x:v>520000</x:v>
      </x:c>
      <x:c r="E35" s="13" t="n">
        <x:v>280800</x:v>
      </x:c>
      <x:c r="F35" s="13" t="n">
        <x:v>320000</x:v>
      </x:c>
      <x:c r="G35" s="13" t="n">
        <x:v>180000</x:v>
      </x:c>
      <x:c r="H35" s="13" t="n">
        <x:v>25000</x:v>
      </x:c>
      <x:c r="I35" s="13" t="n">
        <x:v>422487</x:v>
      </x:c>
      <x:c r="J35" s="13" t="n">
        <x:f>B35-SUM(C35:I35)</x:f>
        <x:v>1267462</x:v>
      </x:c>
      <x:c r="K35" s="13" t="n">
        <x:v>5978590</x:v>
      </x:c>
      <x:c r="L35" s="13" t="n">
        <x:v>2275039</x:v>
      </x:c>
      <x:c r="M35" s="13" t="n">
        <x:v>392047</x:v>
      </x:c>
      <x:c r="N35" s="13" t="n">
        <x:f>N34+W35</x:f>
        <x:v>12745772</x:v>
      </x:c>
      <x:c r="O35" s="13" t="n">
        <x:f>O34+B35+'税务台账'!C35-K35</x:f>
        <x:v>1400000</x:v>
      </x:c>
      <x:c r="P35" s="13" t="n">
        <x:f>P34+L35-C35</x:f>
        <x:v>1800000</x:v>
      </x:c>
      <x:c r="Q35" s="13" t="n">
        <x:f>Q34-G35</x:f>
        <x:v>20420000</x:v>
      </x:c>
      <x:c r="R35" s="13" t="n">
        <x:v>7400000</x:v>
      </x:c>
      <x:c r="S35" s="13" t="n">
        <x:f>S34+J35-V35</x:f>
        <x:v>28965772</x:v>
      </x:c>
      <x:c r="T35" s="13" t="n">
        <x:f>SUM(N35:Q35)</x:f>
        <x:v>36365772</x:v>
      </x:c>
      <x:c r="U35" s="13" t="n">
        <x:f>K35-L35-'税务台账'!E35-D35-E35-F35-H35-I35-M35</x:f>
        <x:v>1447462</x:v>
      </x:c>
      <x:c r="V35" s="13" t="n">
        <x:v>0</x:v>
      </x:c>
      <x:c r="W35" s="13" t="n">
        <x:f>U35-V35</x:f>
        <x:v>1447462</x:v>
      </x:c>
    </x:row>
    <x:row r="36" ht="38" customHeight="1">
      <x:c r="A36" s="12" t="str">
        <x:v>2025-08</x:v>
      </x:c>
      <x:c r="B36" s="13" t="n">
        <x:v>5290788</x:v>
      </x:c>
      <x:c r="C36" s="13" t="n">
        <x:v>2275039</x:v>
      </x:c>
      <x:c r="D36" s="13" t="n">
        <x:v>520000</x:v>
      </x:c>
      <x:c r="E36" s="13" t="n">
        <x:v>280800</x:v>
      </x:c>
      <x:c r="F36" s="13" t="n">
        <x:v>320000</x:v>
      </x:c>
      <x:c r="G36" s="13" t="n">
        <x:v>180000</x:v>
      </x:c>
      <x:c r="H36" s="13" t="n">
        <x:v>25000</x:v>
      </x:c>
      <x:c r="I36" s="13" t="n">
        <x:v>422487</x:v>
      </x:c>
      <x:c r="J36" s="13" t="n">
        <x:f>B36-SUM(C36:I36)</x:f>
        <x:v>1267462</x:v>
      </x:c>
      <x:c r="K36" s="13" t="n">
        <x:v>5978590</x:v>
      </x:c>
      <x:c r="L36" s="13" t="n">
        <x:v>2275039</x:v>
      </x:c>
      <x:c r="M36" s="13" t="n">
        <x:v>392047</x:v>
      </x:c>
      <x:c r="N36" s="13" t="n">
        <x:f>N35+W36</x:f>
        <x:v>14193234</x:v>
      </x:c>
      <x:c r="O36" s="13" t="n">
        <x:f>O35+B36+'税务台账'!C36-K36</x:f>
        <x:v>1400000</x:v>
      </x:c>
      <x:c r="P36" s="13" t="n">
        <x:f>P35+L36-C36</x:f>
        <x:v>1800000</x:v>
      </x:c>
      <x:c r="Q36" s="13" t="n">
        <x:f>Q35-G36</x:f>
        <x:v>20240000</x:v>
      </x:c>
      <x:c r="R36" s="13" t="n">
        <x:v>7400000</x:v>
      </x:c>
      <x:c r="S36" s="13" t="n">
        <x:f>S35+J36-V36</x:f>
        <x:v>30233234</x:v>
      </x:c>
      <x:c r="T36" s="13" t="n">
        <x:f>SUM(N36:Q36)</x:f>
        <x:v>37633234</x:v>
      </x:c>
      <x:c r="U36" s="13" t="n">
        <x:f>K36-L36-'税务台账'!E36-D36-E36-F36-H36-I36-M36</x:f>
        <x:v>1447462</x:v>
      </x:c>
      <x:c r="V36" s="13" t="n">
        <x:v>0</x:v>
      </x:c>
      <x:c r="W36" s="13" t="n">
        <x:f>U36-V36</x:f>
        <x:v>1447462</x:v>
      </x:c>
    </x:row>
    <x:row r="37" ht="38" customHeight="1">
      <x:c r="A37" s="12" t="str">
        <x:v>2025-09</x:v>
      </x:c>
      <x:c r="B37" s="13" t="n">
        <x:v>5094840</x:v>
      </x:c>
      <x:c r="C37" s="13" t="n">
        <x:v>2190781</x:v>
      </x:c>
      <x:c r="D37" s="13" t="n">
        <x:v>520000</x:v>
      </x:c>
      <x:c r="E37" s="13" t="n">
        <x:v>270400</x:v>
      </x:c>
      <x:c r="F37" s="13" t="n">
        <x:v>320000</x:v>
      </x:c>
      <x:c r="G37" s="13" t="n">
        <x:v>180000</x:v>
      </x:c>
      <x:c r="H37" s="13" t="n">
        <x:v>25000</x:v>
      </x:c>
      <x:c r="I37" s="13" t="n">
        <x:v>397165</x:v>
      </x:c>
      <x:c r="J37" s="13" t="n">
        <x:f>B37-SUM(C37:I37)</x:f>
        <x:v>1191494</x:v>
      </x:c>
      <x:c r="K37" s="13" t="n">
        <x:v>5757169</x:v>
      </x:c>
      <x:c r="L37" s="13" t="n">
        <x:v>2190781</x:v>
      </x:c>
      <x:c r="M37" s="13" t="n">
        <x:v>377527</x:v>
      </x:c>
      <x:c r="N37" s="13" t="n">
        <x:f>N36+W37</x:f>
        <x:v>15564728</x:v>
      </x:c>
      <x:c r="O37" s="13" t="n">
        <x:f>O36+B37+'税务台账'!C37-K37</x:f>
        <x:v>1400000</x:v>
      </x:c>
      <x:c r="P37" s="13" t="n">
        <x:f>P36+L37-C37</x:f>
        <x:v>1800000</x:v>
      </x:c>
      <x:c r="Q37" s="13" t="n">
        <x:f>Q36-G37</x:f>
        <x:v>20060000</x:v>
      </x:c>
      <x:c r="R37" s="13" t="n">
        <x:v>7400000</x:v>
      </x:c>
      <x:c r="S37" s="13" t="n">
        <x:f>S36+J37-V37</x:f>
        <x:v>31424728</x:v>
      </x:c>
      <x:c r="T37" s="13" t="n">
        <x:f>SUM(N37:Q37)</x:f>
        <x:v>38824728</x:v>
      </x:c>
      <x:c r="U37" s="13" t="n">
        <x:f>K37-L37-'税务台账'!E37-D37-E37-F37-H37-I37-M37</x:f>
        <x:v>1371494</x:v>
      </x:c>
      <x:c r="V37" s="13" t="n">
        <x:v>0</x:v>
      </x:c>
      <x:c r="W37" s="13" t="n">
        <x:f>U37-V37</x:f>
        <x:v>1371494</x:v>
      </x:c>
    </x:row>
    <x:row r="38" ht="38" customHeight="1">
      <x:c r="A38" s="12" t="str">
        <x:v>2025-10</x:v>
      </x:c>
      <x:c r="B38" s="13" t="n">
        <x:v>4996860</x:v>
      </x:c>
      <x:c r="C38" s="13" t="n">
        <x:v>2148650</x:v>
      </x:c>
      <x:c r="D38" s="13" t="n">
        <x:v>520000</x:v>
      </x:c>
      <x:c r="E38" s="13" t="n">
        <x:v>265200</x:v>
      </x:c>
      <x:c r="F38" s="13" t="n">
        <x:v>320000</x:v>
      </x:c>
      <x:c r="G38" s="13" t="n">
        <x:v>180000</x:v>
      </x:c>
      <x:c r="H38" s="13" t="n">
        <x:v>25000</x:v>
      </x:c>
      <x:c r="I38" s="13" t="n">
        <x:v>384502</x:v>
      </x:c>
      <x:c r="J38" s="13" t="n">
        <x:f>B38-SUM(C38:I38)</x:f>
        <x:v>1153508</x:v>
      </x:c>
      <x:c r="K38" s="13" t="n">
        <x:v>5646452</x:v>
      </x:c>
      <x:c r="L38" s="13" t="n">
        <x:v>2148650</x:v>
      </x:c>
      <x:c r="M38" s="13" t="n">
        <x:v>370268</x:v>
      </x:c>
      <x:c r="N38" s="13" t="n">
        <x:f>N37+W38</x:f>
        <x:v>16898236</x:v>
      </x:c>
      <x:c r="O38" s="13" t="n">
        <x:f>O37+B38+'税务台账'!C38-K38</x:f>
        <x:v>1400000</x:v>
      </x:c>
      <x:c r="P38" s="13" t="n">
        <x:f>P37+L38-C38</x:f>
        <x:v>1800000</x:v>
      </x:c>
      <x:c r="Q38" s="13" t="n">
        <x:f>Q37-G38</x:f>
        <x:v>19880000</x:v>
      </x:c>
      <x:c r="R38" s="13" t="n">
        <x:v>7400000</x:v>
      </x:c>
      <x:c r="S38" s="13" t="n">
        <x:f>S37+J38-V38</x:f>
        <x:v>32578236</x:v>
      </x:c>
      <x:c r="T38" s="13" t="n">
        <x:f>SUM(N38:Q38)</x:f>
        <x:v>39978236</x:v>
      </x:c>
      <x:c r="U38" s="13" t="n">
        <x:f>K38-L38-'税务台账'!E38-D38-E38-F38-H38-I38-M38</x:f>
        <x:v>1333508</x:v>
      </x:c>
      <x:c r="V38" s="13" t="n">
        <x:v>0</x:v>
      </x:c>
      <x:c r="W38" s="13" t="n">
        <x:f>U38-V38</x:f>
        <x:v>1333508</x:v>
      </x:c>
    </x:row>
    <x:row r="39" ht="38" customHeight="1">
      <x:c r="A39" s="12" t="str">
        <x:v>2025-11</x:v>
      </x:c>
      <x:c r="B39" s="13" t="n">
        <x:v>5192808</x:v>
      </x:c>
      <x:c r="C39" s="13" t="n">
        <x:v>2232907</x:v>
      </x:c>
      <x:c r="D39" s="13" t="n">
        <x:v>520000</x:v>
      </x:c>
      <x:c r="E39" s="13" t="n">
        <x:v>275600</x:v>
      </x:c>
      <x:c r="F39" s="13" t="n">
        <x:v>320000</x:v>
      </x:c>
      <x:c r="G39" s="13" t="n">
        <x:v>180000</x:v>
      </x:c>
      <x:c r="H39" s="13" t="n">
        <x:v>25000</x:v>
      </x:c>
      <x:c r="I39" s="13" t="n">
        <x:v>409825</x:v>
      </x:c>
      <x:c r="J39" s="13" t="n">
        <x:f>B39-SUM(C39:I39)</x:f>
        <x:v>1229476</x:v>
      </x:c>
      <x:c r="K39" s="13" t="n">
        <x:v>5867873</x:v>
      </x:c>
      <x:c r="L39" s="13" t="n">
        <x:v>2232907</x:v>
      </x:c>
      <x:c r="M39" s="13" t="n">
        <x:v>384787</x:v>
      </x:c>
      <x:c r="N39" s="13" t="n">
        <x:f>N38+W39</x:f>
        <x:v>18307712</x:v>
      </x:c>
      <x:c r="O39" s="13" t="n">
        <x:f>O38+B39+'税务台账'!C39-K39</x:f>
        <x:v>1400000</x:v>
      </x:c>
      <x:c r="P39" s="13" t="n">
        <x:f>P38+L39-C39</x:f>
        <x:v>1800000</x:v>
      </x:c>
      <x:c r="Q39" s="13" t="n">
        <x:f>Q38-G39</x:f>
        <x:v>19700000</x:v>
      </x:c>
      <x:c r="R39" s="13" t="n">
        <x:v>7400000</x:v>
      </x:c>
      <x:c r="S39" s="13" t="n">
        <x:f>S38+J39-V39</x:f>
        <x:v>33807712</x:v>
      </x:c>
      <x:c r="T39" s="13" t="n">
        <x:f>SUM(N39:Q39)</x:f>
        <x:v>41207712</x:v>
      </x:c>
      <x:c r="U39" s="13" t="n">
        <x:f>K39-L39-'税务台账'!E39-D39-E39-F39-H39-I39-M39</x:f>
        <x:v>1409476</x:v>
      </x:c>
      <x:c r="V39" s="13" t="n">
        <x:v>0</x:v>
      </x:c>
      <x:c r="W39" s="13" t="n">
        <x:f>U39-V39</x:f>
        <x:v>1409476</x:v>
      </x:c>
    </x:row>
    <x:row r="40" ht="38" customHeight="1">
      <x:c r="A40" s="12" t="str">
        <x:v>2025-12</x:v>
      </x:c>
      <x:c r="B40" s="13" t="n">
        <x:v>5388768</x:v>
      </x:c>
      <x:c r="C40" s="13" t="n">
        <x:v>2317170</x:v>
      </x:c>
      <x:c r="D40" s="13" t="n">
        <x:v>520000</x:v>
      </x:c>
      <x:c r="E40" s="13" t="n">
        <x:v>286000</x:v>
      </x:c>
      <x:c r="F40" s="13" t="n">
        <x:v>320000</x:v>
      </x:c>
      <x:c r="G40" s="13" t="n">
        <x:v>180000</x:v>
      </x:c>
      <x:c r="H40" s="13" t="n">
        <x:v>25000</x:v>
      </x:c>
      <x:c r="I40" s="13" t="n">
        <x:v>435150</x:v>
      </x:c>
      <x:c r="J40" s="13" t="n">
        <x:f>B40-SUM(C40:I40)</x:f>
        <x:v>1305448</x:v>
      </x:c>
      <x:c r="K40" s="13" t="n">
        <x:v>6089308</x:v>
      </x:c>
      <x:c r="L40" s="13" t="n">
        <x:v>2317170</x:v>
      </x:c>
      <x:c r="M40" s="13" t="n">
        <x:v>399308</x:v>
      </x:c>
      <x:c r="N40" s="13" t="n">
        <x:f>N39+W40</x:f>
        <x:v>4000000</x:v>
      </x:c>
      <x:c r="O40" s="13" t="n">
        <x:f>O39+B40+'税务台账'!C40-K40</x:f>
        <x:v>1400000</x:v>
      </x:c>
      <x:c r="P40" s="13" t="n">
        <x:f>P39+L40-C40</x:f>
        <x:v>1800000</x:v>
      </x:c>
      <x:c r="Q40" s="13" t="n">
        <x:f>Q39-G40</x:f>
        <x:v>19520000</x:v>
      </x:c>
      <x:c r="R40" s="13" t="n">
        <x:v>7400000</x:v>
      </x:c>
      <x:c r="S40" s="13" t="n">
        <x:f>S39+J40-V40</x:f>
        <x:v>19320000</x:v>
      </x:c>
      <x:c r="T40" s="13" t="n">
        <x:f>SUM(N40:Q40)</x:f>
        <x:v>26720000</x:v>
      </x:c>
      <x:c r="U40" s="13" t="n">
        <x:f>K40-L40-'税务台账'!E40-D40-E40-F40-H40-I40-M40</x:f>
        <x:v>1485448</x:v>
      </x:c>
      <x:c r="V40" s="13" t="n">
        <x:v>15793160</x:v>
      </x:c>
      <x:c r="W40" s="13" t="n">
        <x:f>U40-V40</x:f>
        <x:v>-14307712</x:v>
      </x:c>
    </x:row>
    <x:row r="41" ht="38" customHeight="1">
      <x:c r="A41" s="12" t="str">
        <x:v>2026-01</x:v>
      </x:c>
      <x:c r="B41" s="13" t="n">
        <x:v>4232628</x:v>
      </x:c>
      <x:c r="C41" s="13" t="n">
        <x:v>1820030</x:v>
      </x:c>
      <x:c r="D41" s="13" t="n">
        <x:v>520000</x:v>
      </x:c>
      <x:c r="E41" s="13" t="n">
        <x:v>208000</x:v>
      </x:c>
      <x:c r="F41" s="13" t="n">
        <x:v>320000</x:v>
      </x:c>
      <x:c r="G41" s="13" t="n">
        <x:v>180000</x:v>
      </x:c>
      <x:c r="H41" s="13" t="n">
        <x:v>25000</x:v>
      </x:c>
      <x:c r="I41" s="13" t="n">
        <x:v>289900</x:v>
      </x:c>
      <x:c r="J41" s="13" t="n">
        <x:f>B41-SUM(C41:I41)</x:f>
        <x:v>869698</x:v>
      </x:c>
      <x:c r="K41" s="13" t="n">
        <x:v>4735042</x:v>
      </x:c>
      <x:c r="L41" s="13" t="n">
        <x:v>1820030</x:v>
      </x:c>
      <x:c r="M41" s="13" t="n">
        <x:v>313638</x:v>
      </x:c>
      <x:c r="N41" s="13" t="n">
        <x:f>N40+W41</x:f>
        <x:v>5001870</x:v>
      </x:c>
      <x:c r="O41" s="13" t="n">
        <x:f>O40+B41+'税务台账'!C41-K41</x:f>
        <x:v>1447828</x:v>
      </x:c>
      <x:c r="P41" s="13" t="n">
        <x:f>P40+L41-C41</x:f>
        <x:v>1800000</x:v>
      </x:c>
      <x:c r="Q41" s="13" t="n">
        <x:f>Q40-G41</x:f>
        <x:v>19340000</x:v>
      </x:c>
      <x:c r="R41" s="13" t="n">
        <x:v>7400000</x:v>
      </x:c>
      <x:c r="S41" s="13" t="n">
        <x:f>S40+J41-V41</x:f>
        <x:v>20189698</x:v>
      </x:c>
      <x:c r="T41" s="13" t="n">
        <x:f>SUM(N41:Q41)</x:f>
        <x:v>27589698</x:v>
      </x:c>
      <x:c r="U41" s="13" t="n">
        <x:f>K41-L41-'税务台账'!E41-D41-E41-F41-H41-I41-M41</x:f>
        <x:v>1001870</x:v>
      </x:c>
      <x:c r="V41" s="13" t="n">
        <x:v>0</x:v>
      </x:c>
      <x:c r="W41" s="13" t="n">
        <x:f>U41-V41</x:f>
        <x:v>1001870</x:v>
      </x:c>
    </x:row>
    <x:row r="42" ht="38" customHeight="1">
      <x:c r="A42" s="12" t="str">
        <x:v>2026-02</x:v>
      </x:c>
      <x:c r="B42" s="13" t="n">
        <x:v>3809364</x:v>
      </x:c>
      <x:c r="C42" s="13" t="n">
        <x:v>1638027</x:v>
      </x:c>
      <x:c r="D42" s="13" t="n">
        <x:v>520000</x:v>
      </x:c>
      <x:c r="E42" s="13" t="n">
        <x:v>187200</x:v>
      </x:c>
      <x:c r="F42" s="13" t="n">
        <x:v>320000</x:v>
      </x:c>
      <x:c r="G42" s="13" t="n">
        <x:v>180000</x:v>
      </x:c>
      <x:c r="H42" s="13" t="n">
        <x:v>25000</x:v>
      </x:c>
      <x:c r="I42" s="13" t="n">
        <x:v>234784</x:v>
      </x:c>
      <x:c r="J42" s="13" t="n">
        <x:f>B42-SUM(C42:I42)</x:f>
        <x:v>704353</x:v>
      </x:c>
      <x:c r="K42" s="13" t="n">
        <x:v>4261535</x:v>
      </x:c>
      <x:c r="L42" s="13" t="n">
        <x:v>1638027</x:v>
      </x:c>
      <x:c r="M42" s="13" t="n">
        <x:v>282273</x:v>
      </x:c>
      <x:c r="N42" s="13" t="n">
        <x:f>N41+W42</x:f>
        <x:v>5843177</x:v>
      </x:c>
      <x:c r="O42" s="13" t="n">
        <x:f>O41+B42+'税务台账'!C42-K42</x:f>
        <x:v>1490874</x:v>
      </x:c>
      <x:c r="P42" s="13" t="n">
        <x:f>P41+L42-C42</x:f>
        <x:v>1800000</x:v>
      </x:c>
      <x:c r="Q42" s="13" t="n">
        <x:f>Q41-G42</x:f>
        <x:v>19160000</x:v>
      </x:c>
      <x:c r="R42" s="13" t="n">
        <x:v>7400000</x:v>
      </x:c>
      <x:c r="S42" s="13" t="n">
        <x:f>S41+J42-V42</x:f>
        <x:v>20894051</x:v>
      </x:c>
      <x:c r="T42" s="13" t="n">
        <x:f>SUM(N42:Q42)</x:f>
        <x:v>28294051</x:v>
      </x:c>
      <x:c r="U42" s="13" t="n">
        <x:f>K42-L42-'税务台账'!E42-D42-E42-F42-H42-I42-M42</x:f>
        <x:v>841307</x:v>
      </x:c>
      <x:c r="V42" s="13" t="n">
        <x:v>0</x:v>
      </x:c>
      <x:c r="W42" s="13" t="n">
        <x:f>U42-V42</x:f>
        <x:v>841307</x:v>
      </x:c>
    </x:row>
    <x:row r="43" ht="38" customHeight="1">
      <x:c r="A43" s="12" t="str">
        <x:v>2026-03</x:v>
      </x:c>
      <x:c r="B43" s="13" t="n">
        <x:v>5396604</x:v>
      </x:c>
      <x:c r="C43" s="13" t="n">
        <x:v>2320540</x:v>
      </x:c>
      <x:c r="D43" s="13" t="n">
        <x:v>520000</x:v>
      </x:c>
      <x:c r="E43" s="13" t="n">
        <x:v>265200</x:v>
      </x:c>
      <x:c r="F43" s="13" t="n">
        <x:v>320000</x:v>
      </x:c>
      <x:c r="G43" s="13" t="n">
        <x:v>180000</x:v>
      </x:c>
      <x:c r="H43" s="13" t="n">
        <x:v>25000</x:v>
      </x:c>
      <x:c r="I43" s="13" t="n">
        <x:v>441466</x:v>
      </x:c>
      <x:c r="J43" s="13" t="n">
        <x:f>B43-SUM(C43:I43)</x:f>
        <x:v>1324398</x:v>
      </x:c>
      <x:c r="K43" s="13" t="n">
        <x:v>6037181</x:v>
      </x:c>
      <x:c r="L43" s="13" t="n">
        <x:v>2320540</x:v>
      </x:c>
      <x:c r="M43" s="13" t="n">
        <x:v>399889</x:v>
      </x:c>
      <x:c r="N43" s="13" t="n">
        <x:f>N42+W43</x:f>
        <x:v>7286593</x:v>
      </x:c>
      <x:c r="O43" s="13" t="n">
        <x:f>O42+B43+'税务台账'!C43-K43</x:f>
        <x:v>1551856</x:v>
      </x:c>
      <x:c r="P43" s="13" t="n">
        <x:f>P42+L43-C43</x:f>
        <x:v>1800000</x:v>
      </x:c>
      <x:c r="Q43" s="13" t="n">
        <x:f>Q42-G43</x:f>
        <x:v>18980000</x:v>
      </x:c>
      <x:c r="R43" s="13" t="n">
        <x:v>7400000</x:v>
      </x:c>
      <x:c r="S43" s="13" t="n">
        <x:f>S42+J43-V43</x:f>
        <x:v>22218449</x:v>
      </x:c>
      <x:c r="T43" s="13" t="n">
        <x:f>SUM(N43:Q43)</x:f>
        <x:v>29618449</x:v>
      </x:c>
      <x:c r="U43" s="13" t="n">
        <x:f>K43-L43-'税务台账'!E43-D43-E43-F43-H43-I43-M43</x:f>
        <x:v>1443416</x:v>
      </x:c>
      <x:c r="V43" s="13" t="n">
        <x:v>0</x:v>
      </x:c>
      <x:c r="W43" s="13" t="n">
        <x:f>U43-V43</x:f>
        <x:v>1443416</x:v>
      </x:c>
    </x:row>
    <x:row r="44" ht="38" customHeight="1">
      <x:c r="A44" s="12" t="str">
        <x:v>2026-04</x:v>
      </x:c>
      <x:c r="B44" s="13" t="n">
        <x:v>5608236</x:v>
      </x:c>
      <x:c r="C44" s="13" t="n">
        <x:v>2411541</x:v>
      </x:c>
      <x:c r="D44" s="13" t="n">
        <x:v>520000</x:v>
      </x:c>
      <x:c r="E44" s="13" t="n">
        <x:v>275600</x:v>
      </x:c>
      <x:c r="F44" s="13" t="n">
        <x:v>320000</x:v>
      </x:c>
      <x:c r="G44" s="13" t="n">
        <x:v>180000</x:v>
      </x:c>
      <x:c r="H44" s="13" t="n">
        <x:v>25000</x:v>
      </x:c>
      <x:c r="I44" s="13" t="n">
        <x:v>469024</x:v>
      </x:c>
      <x:c r="J44" s="13" t="n">
        <x:f>B44-SUM(C44:I44)</x:f>
        <x:v>1407071</x:v>
      </x:c>
      <x:c r="K44" s="13" t="n">
        <x:v>6273934</x:v>
      </x:c>
      <x:c r="L44" s="13" t="n">
        <x:v>2411541</x:v>
      </x:c>
      <x:c r="M44" s="13" t="n">
        <x:v>415571</x:v>
      </x:c>
      <x:c r="N44" s="13" t="n">
        <x:f>N43+W44</x:f>
        <x:v>8810291</x:v>
      </x:c>
      <x:c r="O44" s="13" t="n">
        <x:f>O43+B44+'税务台账'!C44-K44</x:f>
        <x:v>1615229</x:v>
      </x:c>
      <x:c r="P44" s="13" t="n">
        <x:f>P43+L44-C44</x:f>
        <x:v>1800000</x:v>
      </x:c>
      <x:c r="Q44" s="13" t="n">
        <x:f>Q43-G44</x:f>
        <x:v>18800000</x:v>
      </x:c>
      <x:c r="R44" s="13" t="n">
        <x:v>7400000</x:v>
      </x:c>
      <x:c r="S44" s="13" t="n">
        <x:f>S43+J44-V44</x:f>
        <x:v>23625520</x:v>
      </x:c>
      <x:c r="T44" s="13" t="n">
        <x:f>SUM(N44:Q44)</x:f>
        <x:v>31025520</x:v>
      </x:c>
      <x:c r="U44" s="13" t="n">
        <x:f>K44-L44-'税务台账'!E44-D44-E44-F44-H44-I44-M44</x:f>
        <x:v>1523698</x:v>
      </x:c>
      <x:c r="V44" s="13" t="n">
        <x:v>0</x:v>
      </x:c>
      <x:c r="W44" s="13" t="n">
        <x:f>U44-V44</x:f>
        <x:v>1523698</x:v>
      </x:c>
    </x:row>
    <x:row r="45" ht="38" customHeight="1">
      <x:c r="A45" s="12" t="str">
        <x:v>2026-05</x:v>
      </x:c>
      <x:c r="B45" s="13" t="n">
        <x:v>5819868</x:v>
      </x:c>
      <x:c r="C45" s="13" t="n">
        <x:v>2502543</x:v>
      </x:c>
      <x:c r="D45" s="13" t="n">
        <x:v>520000</x:v>
      </x:c>
      <x:c r="E45" s="13" t="n">
        <x:v>286000</x:v>
      </x:c>
      <x:c r="F45" s="13" t="n">
        <x:v>320000</x:v>
      </x:c>
      <x:c r="G45" s="13" t="n">
        <x:v>180000</x:v>
      </x:c>
      <x:c r="H45" s="13" t="n">
        <x:v>25000</x:v>
      </x:c>
      <x:c r="I45" s="13" t="n">
        <x:v>496581</x:v>
      </x:c>
      <x:c r="J45" s="13" t="n">
        <x:f>B45-SUM(C45:I45)</x:f>
        <x:v>1489744</x:v>
      </x:c>
      <x:c r="K45" s="13" t="n">
        <x:v>6510687</x:v>
      </x:c>
      <x:c r="L45" s="13" t="n">
        <x:v>2502543</x:v>
      </x:c>
      <x:c r="M45" s="13" t="n">
        <x:v>431252</x:v>
      </x:c>
      <x:c r="N45" s="13" t="n">
        <x:f>N44+W45</x:f>
        <x:v>10414271</x:v>
      </x:c>
      <x:c r="O45" s="13" t="n">
        <x:f>O44+B45+'税务台账'!C45-K45</x:f>
        <x:v>1680993</x:v>
      </x:c>
      <x:c r="P45" s="13" t="n">
        <x:f>P44+L45-C45</x:f>
        <x:v>1800000</x:v>
      </x:c>
      <x:c r="Q45" s="13" t="n">
        <x:f>Q44-G45</x:f>
        <x:v>18620000</x:v>
      </x:c>
      <x:c r="R45" s="13" t="n">
        <x:v>7400000</x:v>
      </x:c>
      <x:c r="S45" s="13" t="n">
        <x:f>S44+J45-V45</x:f>
        <x:v>25115264</x:v>
      </x:c>
      <x:c r="T45" s="13" t="n">
        <x:f>SUM(N45:Q45)</x:f>
        <x:v>32515264</x:v>
      </x:c>
      <x:c r="U45" s="13" t="n">
        <x:f>K45-L45-'税务台账'!E45-D45-E45-F45-H45-I45-M45</x:f>
        <x:v>1603980</x:v>
      </x:c>
      <x:c r="V45" s="13" t="n">
        <x:v>0</x:v>
      </x:c>
      <x:c r="W45" s="13" t="n">
        <x:f>U45-V45</x:f>
        <x:v>1603980</x:v>
      </x:c>
    </x:row>
    <x:row r="46" ht="38" customHeight="1">
      <x:c r="A46" s="12" t="str">
        <x:v>2026-06</x:v>
      </x:c>
      <x:c r="B46" s="13" t="n">
        <x:v>5555328</x:v>
      </x:c>
      <x:c r="C46" s="13" t="n">
        <x:v>2388791</x:v>
      </x:c>
      <x:c r="D46" s="13" t="n">
        <x:v>520000</x:v>
      </x:c>
      <x:c r="E46" s="13" t="n">
        <x:v>273000</x:v>
      </x:c>
      <x:c r="F46" s="13" t="n">
        <x:v>320000</x:v>
      </x:c>
      <x:c r="G46" s="13" t="n">
        <x:v>180000</x:v>
      </x:c>
      <x:c r="H46" s="13" t="n">
        <x:v>25000</x:v>
      </x:c>
      <x:c r="I46" s="13" t="n">
        <x:v>462134</x:v>
      </x:c>
      <x:c r="J46" s="13" t="n">
        <x:f>B46-SUM(C46:I46)</x:f>
        <x:v>1386403</x:v>
      </x:c>
      <x:c r="K46" s="13" t="n">
        <x:v>6214745</x:v>
      </x:c>
      <x:c r="L46" s="13" t="n">
        <x:v>2388791</x:v>
      </x:c>
      <x:c r="M46" s="13" t="n">
        <x:v>411650</x:v>
      </x:c>
      <x:c r="N46" s="13" t="n">
        <x:f>N45+W46</x:f>
        <x:v>11917898</x:v>
      </x:c>
      <x:c r="O46" s="13" t="n">
        <x:f>O45+B46+'税务台账'!C46-K46</x:f>
        <x:v>1743769</x:v>
      </x:c>
      <x:c r="P46" s="13" t="n">
        <x:f>P45+L46-C46</x:f>
        <x:v>1800000</x:v>
      </x:c>
      <x:c r="Q46" s="13" t="n">
        <x:f>Q45-G46</x:f>
        <x:v>18440000</x:v>
      </x:c>
      <x:c r="R46" s="13" t="n">
        <x:v>7400000</x:v>
      </x:c>
      <x:c r="S46" s="13" t="n">
        <x:f>S45+J46-V46</x:f>
        <x:v>26501667</x:v>
      </x:c>
      <x:c r="T46" s="13" t="n">
        <x:f>SUM(N46:Q46)</x:f>
        <x:v>33901667</x:v>
      </x:c>
      <x:c r="U46" s="13" t="n">
        <x:f>K46-L46-'税务台账'!E46-D46-E46-F46-H46-I46-M46</x:f>
        <x:v>1503627</x:v>
      </x:c>
      <x:c r="V46" s="13" t="n">
        <x:v>0</x:v>
      </x:c>
      <x:c r="W46" s="13" t="n">
        <x:f>U46-V46</x:f>
        <x:v>1503627</x:v>
      </x:c>
    </x:row>
    <x:row r="47" ht="38" customHeight="1">
      <x:c r="A47" s="12" t="str">
        <x:v>2026-07</x:v>
      </x:c>
      <x:c r="B47" s="13" t="n">
        <x:v>5714052</x:v>
      </x:c>
      <x:c r="C47" s="13" t="n">
        <x:v>2457042</x:v>
      </x:c>
      <x:c r="D47" s="13" t="n">
        <x:v>520000</x:v>
      </x:c>
      <x:c r="E47" s="13" t="n">
        <x:v>280800</x:v>
      </x:c>
      <x:c r="F47" s="13" t="n">
        <x:v>320000</x:v>
      </x:c>
      <x:c r="G47" s="13" t="n">
        <x:v>180000</x:v>
      </x:c>
      <x:c r="H47" s="13" t="n">
        <x:v>25000</x:v>
      </x:c>
      <x:c r="I47" s="13" t="n">
        <x:v>482802</x:v>
      </x:c>
      <x:c r="J47" s="13" t="n">
        <x:f>B47-SUM(C47:I47)</x:f>
        <x:v>1448408</x:v>
      </x:c>
      <x:c r="K47" s="13" t="n">
        <x:v>6392310</x:v>
      </x:c>
      <x:c r="L47" s="13" t="n">
        <x:v>2457042</x:v>
      </x:c>
      <x:c r="M47" s="13" t="n">
        <x:v>423412</x:v>
      </x:c>
      <x:c r="N47" s="13" t="n">
        <x:f>N46+W47</x:f>
        <x:v>13481737</x:v>
      </x:c>
      <x:c r="O47" s="13" t="n">
        <x:f>O46+B47+'税务台账'!C47-K47</x:f>
        <x:v>1808338</x:v>
      </x:c>
      <x:c r="P47" s="13" t="n">
        <x:f>P46+L47-C47</x:f>
        <x:v>1800000</x:v>
      </x:c>
      <x:c r="Q47" s="13" t="n">
        <x:f>Q46-G47</x:f>
        <x:v>18260000</x:v>
      </x:c>
      <x:c r="R47" s="13" t="n">
        <x:v>7400000</x:v>
      </x:c>
      <x:c r="S47" s="13" t="n">
        <x:f>S46+J47-V47</x:f>
        <x:v>27950075</x:v>
      </x:c>
      <x:c r="T47" s="13" t="n">
        <x:f>SUM(N47:Q47)</x:f>
        <x:v>35350075</x:v>
      </x:c>
      <x:c r="U47" s="13" t="n">
        <x:f>K47-L47-'税务台账'!E47-D47-E47-F47-H47-I47-M47</x:f>
        <x:v>1563839</x:v>
      </x:c>
      <x:c r="V47" s="13" t="n">
        <x:v>0</x:v>
      </x:c>
      <x:c r="W47" s="13" t="n">
        <x:f>U47-V47</x:f>
        <x:v>1563839</x:v>
      </x:c>
    </x:row>
    <x:row r="48" ht="38" customHeight="1">
      <x:c r="A48" s="12" t="str">
        <x:v>2026-08</x:v>
      </x:c>
      <x:c r="B48" s="13" t="n">
        <x:v>5714052</x:v>
      </x:c>
      <x:c r="C48" s="13" t="n">
        <x:v>2457042</x:v>
      </x:c>
      <x:c r="D48" s="13" t="n">
        <x:v>520000</x:v>
      </x:c>
      <x:c r="E48" s="13" t="n">
        <x:v>280800</x:v>
      </x:c>
      <x:c r="F48" s="13" t="n">
        <x:v>320000</x:v>
      </x:c>
      <x:c r="G48" s="13" t="n">
        <x:v>180000</x:v>
      </x:c>
      <x:c r="H48" s="13" t="n">
        <x:v>25000</x:v>
      </x:c>
      <x:c r="I48" s="13" t="n">
        <x:v>482802</x:v>
      </x:c>
      <x:c r="J48" s="13" t="n">
        <x:f>B48-SUM(C48:I48)</x:f>
        <x:v>1448408</x:v>
      </x:c>
      <x:c r="K48" s="13" t="n">
        <x:v>6392310</x:v>
      </x:c>
      <x:c r="L48" s="13" t="n">
        <x:v>2457042</x:v>
      </x:c>
      <x:c r="M48" s="13" t="n">
        <x:v>423412</x:v>
      </x:c>
      <x:c r="N48" s="13" t="n">
        <x:f>N47+W48</x:f>
        <x:v>15045576</x:v>
      </x:c>
      <x:c r="O48" s="13" t="n">
        <x:f>O47+B48+'税务台账'!C48-K48</x:f>
        <x:v>1872907</x:v>
      </x:c>
      <x:c r="P48" s="13" t="n">
        <x:f>P47+L48-C48</x:f>
        <x:v>1800000</x:v>
      </x:c>
      <x:c r="Q48" s="13" t="n">
        <x:f>Q47-G48</x:f>
        <x:v>18080000</x:v>
      </x:c>
      <x:c r="R48" s="13" t="n">
        <x:v>7400000</x:v>
      </x:c>
      <x:c r="S48" s="13" t="n">
        <x:f>S47+J48-V48</x:f>
        <x:v>29398483</x:v>
      </x:c>
      <x:c r="T48" s="13" t="n">
        <x:f>SUM(N48:Q48)</x:f>
        <x:v>36798483</x:v>
      </x:c>
      <x:c r="U48" s="13" t="n">
        <x:f>K48-L48-'税务台账'!E48-D48-E48-F48-H48-I48-M48</x:f>
        <x:v>1563839</x:v>
      </x:c>
      <x:c r="V48" s="13" t="n">
        <x:v>0</x:v>
      </x:c>
      <x:c r="W48" s="13" t="n">
        <x:f>U48-V48</x:f>
        <x:v>1563839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4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0" customHeight="1">
      <x:c r="A1" s="9" t="str">
        <x:v>喀什示例塑料制品有限公司 · 银行流水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8" customHeight="1">
      <x:c r="A4" s="11" t="str">
        <x:v>流水号</x:v>
      </x:c>
      <x:c r="B4" s="11" t="str">
        <x:v>日期</x:v>
      </x:c>
      <x:c r="C4" s="11" t="str">
        <x:v>关联单号</x:v>
      </x:c>
      <x:c r="D4" s="11" t="str">
        <x:v>对手方</x:v>
      </x:c>
      <x:c r="E4" s="11" t="str">
        <x:v>摘要</x:v>
      </x:c>
      <x:c r="F4" s="11" t="str">
        <x:v>收入元</x:v>
      </x:c>
      <x:c r="G4" s="11" t="str">
        <x:v>支出元</x:v>
      </x:c>
      <x:c r="H4" s="11" t="str">
        <x:v>余额元</x:v>
      </x:c>
      <x:c r="I4" s="11" t="str">
        <x:v>币种</x:v>
      </x:c>
      <x:c r="J4" s="11" t="str">
        <x:v>标识</x:v>
      </x:c>
    </x:row>
    <x:row r="5" ht="38" customHeight="1">
      <x:c r="A5" s="12" t="str">
        <x:v>KS-INJECTION-1000-B0001</x:v>
      </x:c>
      <x:c r="B5" s="14" t="n">
        <x:v>44938</x:v>
      </x:c>
      <x:c r="C5" s="12" t="str">
        <x:v>KS-INJECTION-1000-S-202301-1</x:v>
      </x:c>
      <x:c r="D5" s="12" t="str">
        <x:v>模拟下游1</x:v>
      </x:c>
      <x:c r="E5" s="12" t="str">
        <x:v>销售回款</x:v>
      </x:c>
      <x:c r="F5" s="13" t="n">
        <x:v>1290912</x:v>
      </x:c>
      <x:c r="G5" s="13" t="n">
        <x:v>0</x:v>
      </x:c>
      <x:c r="H5" s="13" t="n">
        <x:v>4290912</x:v>
      </x:c>
      <x:c r="I5" s="12" t="str">
        <x:v>CNY</x:v>
      </x:c>
      <x:c r="J5" s="12" t="str">
        <x:v>SYNTHETIC</x:v>
      </x:c>
    </x:row>
    <x:row r="6" ht="38" customHeight="1">
      <x:c r="A6" s="12" t="str">
        <x:v>KS-INJECTION-1000-B0002</x:v>
      </x:c>
      <x:c r="B6" s="14" t="n">
        <x:v>44939</x:v>
      </x:c>
      <x:c r="C6" s="12" t="str">
        <x:v>KS-INJECTION-1000-S-202301-2</x:v>
      </x:c>
      <x:c r="D6" s="12" t="str">
        <x:v>模拟下游2</x:v>
      </x:c>
      <x:c r="E6" s="12" t="str">
        <x:v>销售回款</x:v>
      </x:c>
      <x:c r="F6" s="13" t="n">
        <x:v>1252944</x:v>
      </x:c>
      <x:c r="G6" s="13" t="n">
        <x:v>0</x:v>
      </x:c>
      <x:c r="H6" s="13" t="n">
        <x:v>5543856</x:v>
      </x:c>
      <x:c r="I6" s="12" t="str">
        <x:v>CNY</x:v>
      </x:c>
      <x:c r="J6" s="12" t="str">
        <x:v>SYNTHETIC</x:v>
      </x:c>
    </x:row>
    <x:row r="7" ht="38" customHeight="1">
      <x:c r="A7" s="12" t="str">
        <x:v>KS-INJECTION-1000-B0003</x:v>
      </x:c>
      <x:c r="B7" s="14" t="n">
        <x:v>44940</x:v>
      </x:c>
      <x:c r="C7" s="12" t="str">
        <x:v>KS-INJECTION-1000-S-202301-3</x:v>
      </x:c>
      <x:c r="D7" s="12" t="str">
        <x:v>模拟下游3</x:v>
      </x:c>
      <x:c r="E7" s="12" t="str">
        <x:v>销售回款</x:v>
      </x:c>
      <x:c r="F7" s="13" t="n">
        <x:v>1252944</x:v>
      </x:c>
      <x:c r="G7" s="13" t="n">
        <x:v>0</x:v>
      </x:c>
      <x:c r="H7" s="13" t="n">
        <x:v>6796800</x:v>
      </x:c>
      <x:c r="I7" s="12" t="str">
        <x:v>CNY</x:v>
      </x:c>
      <x:c r="J7" s="12" t="str">
        <x:v>SYNTHETIC</x:v>
      </x:c>
    </x:row>
    <x:row r="8" ht="38" customHeight="1">
      <x:c r="A8" s="12" t="str">
        <x:v>KS-INJECTION-1000-B0004</x:v>
      </x:c>
      <x:c r="B8" s="14" t="n">
        <x:v>44942</x:v>
      </x:c>
      <x:c r="C8" s="12" t="str">
        <x:v>KS-INJECTION-1000-P-202301-1</x:v>
      </x:c>
      <x:c r="D8" s="12" t="str">
        <x:v>模拟原料商1</x:v>
      </x:c>
      <x:c r="E8" s="12" t="str">
        <x:v>原料付款</x:v>
      </x:c>
      <x:c r="F8" s="13" t="n">
        <x:v>0</x:v>
      </x:c>
      <x:c r="G8" s="13" t="n">
        <x:v>979574</x:v>
      </x:c>
      <x:c r="H8" s="13" t="n">
        <x:v>5817226</x:v>
      </x:c>
      <x:c r="I8" s="12" t="str">
        <x:v>CNY</x:v>
      </x:c>
      <x:c r="J8" s="12" t="str">
        <x:v>SYNTHETIC</x:v>
      </x:c>
    </x:row>
    <x:row r="9" ht="38" customHeight="1">
      <x:c r="A9" s="12" t="str">
        <x:v>KS-INJECTION-1000-B0005</x:v>
      </x:c>
      <x:c r="B9" s="14" t="n">
        <x:v>44943</x:v>
      </x:c>
      <x:c r="C9" s="12" t="str">
        <x:v>KS-INJECTION-1000-P-202301-2</x:v>
      </x:c>
      <x:c r="D9" s="12" t="str">
        <x:v>模拟原料商2</x:v>
      </x:c>
      <x:c r="E9" s="12" t="str">
        <x:v>原料付款</x:v>
      </x:c>
      <x:c r="F9" s="13" t="n">
        <x:v>0</x:v>
      </x:c>
      <x:c r="G9" s="13" t="n">
        <x:v>653050</x:v>
      </x:c>
      <x:c r="H9" s="13" t="n">
        <x:v>5164176</x:v>
      </x:c>
      <x:c r="I9" s="12" t="str">
        <x:v>CNY</x:v>
      </x:c>
      <x:c r="J9" s="12" t="str">
        <x:v>SYNTHETIC</x:v>
      </x:c>
    </x:row>
    <x:row r="10" ht="38" customHeight="1">
      <x:c r="A10" s="12" t="str">
        <x:v>KS-INJECTION-1000-B0006</x:v>
      </x:c>
      <x:c r="B10" s="14" t="n">
        <x:v>44951</x:v>
      </x:c>
      <x:c r="C10" s="12" t="str">
        <x:v>KS-INJECTION-1000-PAY-202301</x:v>
      </x:c>
      <x:c r="D10" s="12" t="str">
        <x:v>模拟工资代发</x:v>
      </x:c>
      <x:c r="E10" s="12" t="str">
        <x:v>工资</x:v>
      </x:c>
      <x:c r="F10" s="13" t="n">
        <x:v>0</x:v>
      </x:c>
      <x:c r="G10" s="13" t="n">
        <x:v>520000</x:v>
      </x:c>
      <x:c r="H10" s="13" t="n">
        <x:v>4644176</x:v>
      </x:c>
      <x:c r="I10" s="12" t="str">
        <x:v>CNY</x:v>
      </x:c>
      <x:c r="J10" s="12" t="str">
        <x:v>SYNTHETIC</x:v>
      </x:c>
    </x:row>
    <x:row r="11" ht="38" customHeight="1">
      <x:c r="A11" s="12" t="str">
        <x:v>KS-INJECTION-1000-B0007</x:v>
      </x:c>
      <x:c r="B11" s="14" t="n">
        <x:v>44951</x:v>
      </x:c>
      <x:c r="C11" s="12" t="str">
        <x:v>KS-INJECTION-1000-ELEC-202301</x:v>
      </x:c>
      <x:c r="D11" s="12" t="str">
        <x:v>模拟供电结算</x:v>
      </x:c>
      <x:c r="E11" s="12" t="str">
        <x:v>电费</x:v>
      </x:c>
      <x:c r="F11" s="13" t="n">
        <x:v>0</x:v>
      </x:c>
      <x:c r="G11" s="13" t="n">
        <x:v>208000</x:v>
      </x:c>
      <x:c r="H11" s="13" t="n">
        <x:v>4436176</x:v>
      </x:c>
      <x:c r="I11" s="12" t="str">
        <x:v>CNY</x:v>
      </x:c>
      <x:c r="J11" s="12" t="str">
        <x:v>SYNTHETIC</x:v>
      </x:c>
    </x:row>
    <x:row r="12" ht="38" customHeight="1">
      <x:c r="A12" s="12" t="str">
        <x:v>KS-INJECTION-1000-B0008</x:v>
      </x:c>
      <x:c r="B12" s="14" t="n">
        <x:v>44951</x:v>
      </x:c>
      <x:c r="C12" s="12" t="str">
        <x:v>KS-INJECTION-1000-OPEX-202301</x:v>
      </x:c>
      <x:c r="D12" s="12" t="str">
        <x:v>模拟费用结算</x:v>
      </x:c>
      <x:c r="E12" s="12" t="str">
        <x:v>管理销售费用</x:v>
      </x:c>
      <x:c r="F12" s="13" t="n">
        <x:v>0</x:v>
      </x:c>
      <x:c r="G12" s="13" t="n">
        <x:v>320000</x:v>
      </x:c>
      <x:c r="H12" s="13" t="n">
        <x:v>4116176</x:v>
      </x:c>
      <x:c r="I12" s="12" t="str">
        <x:v>CNY</x:v>
      </x:c>
      <x:c r="J12" s="12" t="str">
        <x:v>SYNTHETIC</x:v>
      </x:c>
    </x:row>
    <x:row r="13" ht="38" customHeight="1">
      <x:c r="A13" s="12" t="str">
        <x:v>KS-INJECTION-1000-B0009</x:v>
      </x:c>
      <x:c r="B13" s="14" t="n">
        <x:v>44951</x:v>
      </x:c>
      <x:c r="C13" s="12" t="str">
        <x:v>KS-INJECTION-1000-INT-202301</x:v>
      </x:c>
      <x:c r="D13" s="12" t="str">
        <x:v>模拟融资机构</x:v>
      </x:c>
      <x:c r="E13" s="12" t="str">
        <x:v>利息</x:v>
      </x:c>
      <x:c r="F13" s="13" t="n">
        <x:v>0</x:v>
      </x:c>
      <x:c r="G13" s="13" t="n">
        <x:v>25000</x:v>
      </x:c>
      <x:c r="H13" s="13" t="n">
        <x:v>4091176</x:v>
      </x:c>
      <x:c r="I13" s="12" t="str">
        <x:v>CNY</x:v>
      </x:c>
      <x:c r="J13" s="12" t="str">
        <x:v>SYNTHETIC</x:v>
      </x:c>
    </x:row>
    <x:row r="14" ht="38" customHeight="1">
      <x:c r="A14" s="12" t="str">
        <x:v>KS-INJECTION-1000-B0010</x:v>
      </x:c>
      <x:c r="B14" s="14" t="n">
        <x:v>44951</x:v>
      </x:c>
      <x:c r="C14" s="12" t="str">
        <x:v>KS-INJECTION-1000-VAT-202301</x:v>
      </x:c>
      <x:c r="D14" s="12" t="str">
        <x:v>模拟税费账户</x:v>
      </x:c>
      <x:c r="E14" s="12" t="str">
        <x:v>增值税</x:v>
      </x:c>
      <x:c r="F14" s="13" t="n">
        <x:v>0</x:v>
      </x:c>
      <x:c r="G14" s="13" t="n">
        <x:v>248976</x:v>
      </x:c>
      <x:c r="H14" s="13" t="n">
        <x:v>3842200</x:v>
      </x:c>
      <x:c r="I14" s="12" t="str">
        <x:v>CNY</x:v>
      </x:c>
      <x:c r="J14" s="12" t="str">
        <x:v>SYNTHETIC</x:v>
      </x:c>
    </x:row>
    <x:row r="15" ht="38" customHeight="1">
      <x:c r="A15" s="12" t="str">
        <x:v>KS-INJECTION-1000-B0011</x:v>
      </x:c>
      <x:c r="B15" s="14" t="n">
        <x:v>44951</x:v>
      </x:c>
      <x:c r="C15" s="12" t="str">
        <x:v>KS-INJECTION-1000-CIT-202301</x:v>
      </x:c>
      <x:c r="D15" s="12" t="str">
        <x:v>模拟税费账户</x:v>
      </x:c>
      <x:c r="E15" s="12" t="str">
        <x:v>所得税</x:v>
      </x:c>
      <x:c r="F15" s="13" t="n">
        <x:v>0</x:v>
      </x:c>
      <x:c r="G15" s="13" t="n">
        <x:v>165550</x:v>
      </x:c>
      <x:c r="H15" s="13" t="n">
        <x:v>3676650</x:v>
      </x:c>
      <x:c r="I15" s="12" t="str">
        <x:v>CNY</x:v>
      </x:c>
      <x:c r="J15" s="12" t="str">
        <x:v>SYNTHETIC</x:v>
      </x:c>
    </x:row>
    <x:row r="16" ht="38" customHeight="1">
      <x:c r="A16" s="12" t="str">
        <x:v>KS-INJECTION-1000-B0012</x:v>
      </x:c>
      <x:c r="B16" s="14" t="n">
        <x:v>44969</x:v>
      </x:c>
      <x:c r="C16" s="12" t="str">
        <x:v>KS-INJECTION-1000-S-202302-1</x:v>
      </x:c>
      <x:c r="D16" s="12" t="str">
        <x:v>模拟下游1</x:v>
      </x:c>
      <x:c r="E16" s="12" t="str">
        <x:v>销售回款</x:v>
      </x:c>
      <x:c r="F16" s="13" t="n">
        <x:v>1161821</x:v>
      </x:c>
      <x:c r="G16" s="13" t="n">
        <x:v>0</x:v>
      </x:c>
      <x:c r="H16" s="13" t="n">
        <x:v>4838471</x:v>
      </x:c>
      <x:c r="I16" s="12" t="str">
        <x:v>CNY</x:v>
      </x:c>
      <x:c r="J16" s="12" t="str">
        <x:v>SYNTHETIC</x:v>
      </x:c>
    </x:row>
    <x:row r="17" ht="38" customHeight="1">
      <x:c r="A17" s="12" t="str">
        <x:v>KS-INJECTION-1000-B0013</x:v>
      </x:c>
      <x:c r="B17" s="14" t="n">
        <x:v>44970</x:v>
      </x:c>
      <x:c r="C17" s="12" t="str">
        <x:v>KS-INJECTION-1000-S-202302-2</x:v>
      </x:c>
      <x:c r="D17" s="12" t="str">
        <x:v>模拟下游2</x:v>
      </x:c>
      <x:c r="E17" s="12" t="str">
        <x:v>销售回款</x:v>
      </x:c>
      <x:c r="F17" s="13" t="n">
        <x:v>1127650</x:v>
      </x:c>
      <x:c r="G17" s="13" t="n">
        <x:v>0</x:v>
      </x:c>
      <x:c r="H17" s="13" t="n">
        <x:v>5966121</x:v>
      </x:c>
      <x:c r="I17" s="12" t="str">
        <x:v>CNY</x:v>
      </x:c>
      <x:c r="J17" s="12" t="str">
        <x:v>SYNTHETIC</x:v>
      </x:c>
    </x:row>
    <x:row r="18" ht="38" customHeight="1">
      <x:c r="A18" s="12" t="str">
        <x:v>KS-INJECTION-1000-B0014</x:v>
      </x:c>
      <x:c r="B18" s="14" t="n">
        <x:v>44971</x:v>
      </x:c>
      <x:c r="C18" s="12" t="str">
        <x:v>KS-INJECTION-1000-S-202302-3</x:v>
      </x:c>
      <x:c r="D18" s="12" t="str">
        <x:v>模拟下游3</x:v>
      </x:c>
      <x:c r="E18" s="12" t="str">
        <x:v>销售回款</x:v>
      </x:c>
      <x:c r="F18" s="13" t="n">
        <x:v>1127649</x:v>
      </x:c>
      <x:c r="G18" s="13" t="n">
        <x:v>0</x:v>
      </x:c>
      <x:c r="H18" s="13" t="n">
        <x:v>7093770</x:v>
      </x:c>
      <x:c r="I18" s="12" t="str">
        <x:v>CNY</x:v>
      </x:c>
      <x:c r="J18" s="12" t="str">
        <x:v>SYNTHETIC</x:v>
      </x:c>
    </x:row>
    <x:row r="19" ht="38" customHeight="1">
      <x:c r="A19" s="12" t="str">
        <x:v>KS-INJECTION-1000-B0015</x:v>
      </x:c>
      <x:c r="B19" s="14" t="n">
        <x:v>44973</x:v>
      </x:c>
      <x:c r="C19" s="12" t="str">
        <x:v>KS-INJECTION-1000-P-202302-1</x:v>
      </x:c>
      <x:c r="D19" s="12" t="str">
        <x:v>模拟原料商1</x:v>
      </x:c>
      <x:c r="E19" s="12" t="str">
        <x:v>原料付款</x:v>
      </x:c>
      <x:c r="F19" s="13" t="n">
        <x:v>0</x:v>
      </x:c>
      <x:c r="G19" s="13" t="n">
        <x:v>881617</x:v>
      </x:c>
      <x:c r="H19" s="13" t="n">
        <x:v>6212153</x:v>
      </x:c>
      <x:c r="I19" s="12" t="str">
        <x:v>CNY</x:v>
      </x:c>
      <x:c r="J19" s="12" t="str">
        <x:v>SYNTHETIC</x:v>
      </x:c>
    </x:row>
    <x:row r="20" ht="38" customHeight="1">
      <x:c r="A20" s="12" t="str">
        <x:v>KS-INJECTION-1000-B0016</x:v>
      </x:c>
      <x:c r="B20" s="14" t="n">
        <x:v>44974</x:v>
      </x:c>
      <x:c r="C20" s="12" t="str">
        <x:v>KS-INJECTION-1000-P-202302-2</x:v>
      </x:c>
      <x:c r="D20" s="12" t="str">
        <x:v>模拟原料商2</x:v>
      </x:c>
      <x:c r="E20" s="12" t="str">
        <x:v>原料付款</x:v>
      </x:c>
      <x:c r="F20" s="13" t="n">
        <x:v>0</x:v>
      </x:c>
      <x:c r="G20" s="13" t="n">
        <x:v>587745</x:v>
      </x:c>
      <x:c r="H20" s="13" t="n">
        <x:v>5624408</x:v>
      </x:c>
      <x:c r="I20" s="12" t="str">
        <x:v>CNY</x:v>
      </x:c>
      <x:c r="J20" s="12" t="str">
        <x:v>SYNTHETIC</x:v>
      </x:c>
    </x:row>
    <x:row r="21" ht="38" customHeight="1">
      <x:c r="A21" s="12" t="str">
        <x:v>KS-INJECTION-1000-B0017</x:v>
      </x:c>
      <x:c r="B21" s="14" t="n">
        <x:v>44982</x:v>
      </x:c>
      <x:c r="C21" s="12" t="str">
        <x:v>KS-INJECTION-1000-PAY-202302</x:v>
      </x:c>
      <x:c r="D21" s="12" t="str">
        <x:v>模拟工资代发</x:v>
      </x:c>
      <x:c r="E21" s="12" t="str">
        <x:v>工资</x:v>
      </x:c>
      <x:c r="F21" s="13" t="n">
        <x:v>0</x:v>
      </x:c>
      <x:c r="G21" s="13" t="n">
        <x:v>520000</x:v>
      </x:c>
      <x:c r="H21" s="13" t="n">
        <x:v>5104408</x:v>
      </x:c>
      <x:c r="I21" s="12" t="str">
        <x:v>CNY</x:v>
      </x:c>
      <x:c r="J21" s="12" t="str">
        <x:v>SYNTHETIC</x:v>
      </x:c>
    </x:row>
    <x:row r="22" ht="38" customHeight="1">
      <x:c r="A22" s="12" t="str">
        <x:v>KS-INJECTION-1000-B0018</x:v>
      </x:c>
      <x:c r="B22" s="14" t="n">
        <x:v>44982</x:v>
      </x:c>
      <x:c r="C22" s="12" t="str">
        <x:v>KS-INJECTION-1000-ELEC-202302</x:v>
      </x:c>
      <x:c r="D22" s="12" t="str">
        <x:v>模拟供电结算</x:v>
      </x:c>
      <x:c r="E22" s="12" t="str">
        <x:v>电费</x:v>
      </x:c>
      <x:c r="F22" s="13" t="n">
        <x:v>0</x:v>
      </x:c>
      <x:c r="G22" s="13" t="n">
        <x:v>187200</x:v>
      </x:c>
      <x:c r="H22" s="13" t="n">
        <x:v>4917208</x:v>
      </x:c>
      <x:c r="I22" s="12" t="str">
        <x:v>CNY</x:v>
      </x:c>
      <x:c r="J22" s="12" t="str">
        <x:v>SYNTHETIC</x:v>
      </x:c>
    </x:row>
    <x:row r="23" ht="38" customHeight="1">
      <x:c r="A23" s="12" t="str">
        <x:v>KS-INJECTION-1000-B0019</x:v>
      </x:c>
      <x:c r="B23" s="14" t="n">
        <x:v>44982</x:v>
      </x:c>
      <x:c r="C23" s="12" t="str">
        <x:v>KS-INJECTION-1000-OPEX-202302</x:v>
      </x:c>
      <x:c r="D23" s="12" t="str">
        <x:v>模拟费用结算</x:v>
      </x:c>
      <x:c r="E23" s="12" t="str">
        <x:v>管理销售费用</x:v>
      </x:c>
      <x:c r="F23" s="13" t="n">
        <x:v>0</x:v>
      </x:c>
      <x:c r="G23" s="13" t="n">
        <x:v>320000</x:v>
      </x:c>
      <x:c r="H23" s="13" t="n">
        <x:v>4597208</x:v>
      </x:c>
      <x:c r="I23" s="12" t="str">
        <x:v>CNY</x:v>
      </x:c>
      <x:c r="J23" s="12" t="str">
        <x:v>SYNTHETIC</x:v>
      </x:c>
    </x:row>
    <x:row r="24" ht="38" customHeight="1">
      <x:c r="A24" s="12" t="str">
        <x:v>KS-INJECTION-1000-B0020</x:v>
      </x:c>
      <x:c r="B24" s="14" t="n">
        <x:v>44982</x:v>
      </x:c>
      <x:c r="C24" s="12" t="str">
        <x:v>KS-INJECTION-1000-INT-202302</x:v>
      </x:c>
      <x:c r="D24" s="12" t="str">
        <x:v>模拟融资机构</x:v>
      </x:c>
      <x:c r="E24" s="12" t="str">
        <x:v>利息</x:v>
      </x:c>
      <x:c r="F24" s="13" t="n">
        <x:v>0</x:v>
      </x:c>
      <x:c r="G24" s="13" t="n">
        <x:v>25000</x:v>
      </x:c>
      <x:c r="H24" s="13" t="n">
        <x:v>4572208</x:v>
      </x:c>
      <x:c r="I24" s="12" t="str">
        <x:v>CNY</x:v>
      </x:c>
      <x:c r="J24" s="12" t="str">
        <x:v>SYNTHETIC</x:v>
      </x:c>
    </x:row>
    <x:row r="25" ht="38" customHeight="1">
      <x:c r="A25" s="12" t="str">
        <x:v>KS-INJECTION-1000-B0021</x:v>
      </x:c>
      <x:c r="B25" s="14" t="n">
        <x:v>44982</x:v>
      </x:c>
      <x:c r="C25" s="12" t="str">
        <x:v>KS-INJECTION-1000-VAT-202302</x:v>
      </x:c>
      <x:c r="D25" s="12" t="str">
        <x:v>模拟税费账户</x:v>
      </x:c>
      <x:c r="E25" s="12" t="str">
        <x:v>增值税</x:v>
      </x:c>
      <x:c r="F25" s="13" t="n">
        <x:v>0</x:v>
      </x:c>
      <x:c r="G25" s="13" t="n">
        <x:v>224078</x:v>
      </x:c>
      <x:c r="H25" s="13" t="n">
        <x:v>4348130</x:v>
      </x:c>
      <x:c r="I25" s="12" t="str">
        <x:v>CNY</x:v>
      </x:c>
      <x:c r="J25" s="12" t="str">
        <x:v>SYNTHETIC</x:v>
      </x:c>
    </x:row>
    <x:row r="26" ht="38" customHeight="1">
      <x:c r="A26" s="12" t="str">
        <x:v>KS-INJECTION-1000-B0022</x:v>
      </x:c>
      <x:c r="B26" s="14" t="n">
        <x:v>44982</x:v>
      </x:c>
      <x:c r="C26" s="12" t="str">
        <x:v>KS-INJECTION-1000-CIT-202302</x:v>
      </x:c>
      <x:c r="D26" s="12" t="str">
        <x:v>模拟税费账户</x:v>
      </x:c>
      <x:c r="E26" s="12" t="str">
        <x:v>所得税</x:v>
      </x:c>
      <x:c r="F26" s="13" t="n">
        <x:v>0</x:v>
      </x:c>
      <x:c r="G26" s="13" t="n">
        <x:v>122870</x:v>
      </x:c>
      <x:c r="H26" s="13" t="n">
        <x:v>4225260</x:v>
      </x:c>
      <x:c r="I26" s="12" t="str">
        <x:v>CNY</x:v>
      </x:c>
      <x:c r="J26" s="12" t="str">
        <x:v>SYNTHETIC</x:v>
      </x:c>
    </x:row>
    <x:row r="27" ht="38" customHeight="1">
      <x:c r="A27" s="12" t="str">
        <x:v>KS-INJECTION-1000-B0023</x:v>
      </x:c>
      <x:c r="B27" s="14" t="n">
        <x:v>44997</x:v>
      </x:c>
      <x:c r="C27" s="12" t="str">
        <x:v>KS-INJECTION-1000-S-202303-1</x:v>
      </x:c>
      <x:c r="D27" s="12" t="str">
        <x:v>模拟下游1</x:v>
      </x:c>
      <x:c r="E27" s="12" t="str">
        <x:v>销售回款</x:v>
      </x:c>
      <x:c r="F27" s="13" t="n">
        <x:v>1645913</x:v>
      </x:c>
      <x:c r="G27" s="13" t="n">
        <x:v>0</x:v>
      </x:c>
      <x:c r="H27" s="13" t="n">
        <x:v>5871173</x:v>
      </x:c>
      <x:c r="I27" s="12" t="str">
        <x:v>CNY</x:v>
      </x:c>
      <x:c r="J27" s="12" t="str">
        <x:v>SYNTHETIC</x:v>
      </x:c>
    </x:row>
    <x:row r="28" ht="38" customHeight="1">
      <x:c r="A28" s="12" t="str">
        <x:v>KS-INJECTION-1000-B0024</x:v>
      </x:c>
      <x:c r="B28" s="14" t="n">
        <x:v>44998</x:v>
      </x:c>
      <x:c r="C28" s="12" t="str">
        <x:v>KS-INJECTION-1000-S-202303-2</x:v>
      </x:c>
      <x:c r="D28" s="12" t="str">
        <x:v>模拟下游2</x:v>
      </x:c>
      <x:c r="E28" s="12" t="str">
        <x:v>销售回款</x:v>
      </x:c>
      <x:c r="F28" s="13" t="n">
        <x:v>1597504</x:v>
      </x:c>
      <x:c r="G28" s="13" t="n">
        <x:v>0</x:v>
      </x:c>
      <x:c r="H28" s="13" t="n">
        <x:v>7468677</x:v>
      </x:c>
      <x:c r="I28" s="12" t="str">
        <x:v>CNY</x:v>
      </x:c>
      <x:c r="J28" s="12" t="str">
        <x:v>SYNTHETIC</x:v>
      </x:c>
    </x:row>
    <x:row r="29" ht="38" customHeight="1">
      <x:c r="A29" s="12" t="str">
        <x:v>KS-INJECTION-1000-B0025</x:v>
      </x:c>
      <x:c r="B29" s="14" t="n">
        <x:v>44999</x:v>
      </x:c>
      <x:c r="C29" s="12" t="str">
        <x:v>KS-INJECTION-1000-S-202303-3</x:v>
      </x:c>
      <x:c r="D29" s="12" t="str">
        <x:v>模拟下游3</x:v>
      </x:c>
      <x:c r="E29" s="12" t="str">
        <x:v>销售回款</x:v>
      </x:c>
      <x:c r="F29" s="13" t="n">
        <x:v>1597503</x:v>
      </x:c>
      <x:c r="G29" s="13" t="n">
        <x:v>0</x:v>
      </x:c>
      <x:c r="H29" s="13" t="n">
        <x:v>9066180</x:v>
      </x:c>
      <x:c r="I29" s="12" t="str">
        <x:v>CNY</x:v>
      </x:c>
      <x:c r="J29" s="12" t="str">
        <x:v>SYNTHETIC</x:v>
      </x:c>
    </x:row>
    <x:row r="30" ht="38" customHeight="1">
      <x:c r="A30" s="12" t="str">
        <x:v>KS-INJECTION-1000-B0026</x:v>
      </x:c>
      <x:c r="B30" s="14" t="n">
        <x:v>45001</x:v>
      </x:c>
      <x:c r="C30" s="12" t="str">
        <x:v>KS-INJECTION-1000-P-202303-1</x:v>
      </x:c>
      <x:c r="D30" s="12" t="str">
        <x:v>模拟原料商1</x:v>
      </x:c>
      <x:c r="E30" s="12" t="str">
        <x:v>原料付款</x:v>
      </x:c>
      <x:c r="F30" s="13" t="n">
        <x:v>0</x:v>
      </x:c>
      <x:c r="G30" s="13" t="n">
        <x:v>1248958</x:v>
      </x:c>
      <x:c r="H30" s="13" t="n">
        <x:v>7817222</x:v>
      </x:c>
      <x:c r="I30" s="12" t="str">
        <x:v>CNY</x:v>
      </x:c>
      <x:c r="J30" s="12" t="str">
        <x:v>SYNTHETIC</x:v>
      </x:c>
    </x:row>
    <x:row r="31" ht="38" customHeight="1">
      <x:c r="A31" s="12" t="str">
        <x:v>KS-INJECTION-1000-B0027</x:v>
      </x:c>
      <x:c r="B31" s="14" t="n">
        <x:v>45002</x:v>
      </x:c>
      <x:c r="C31" s="12" t="str">
        <x:v>KS-INJECTION-1000-P-202303-2</x:v>
      </x:c>
      <x:c r="D31" s="12" t="str">
        <x:v>模拟原料商2</x:v>
      </x:c>
      <x:c r="E31" s="12" t="str">
        <x:v>原料付款</x:v>
      </x:c>
      <x:c r="F31" s="13" t="n">
        <x:v>0</x:v>
      </x:c>
      <x:c r="G31" s="13" t="n">
        <x:v>832638</x:v>
      </x:c>
      <x:c r="H31" s="13" t="n">
        <x:v>6984584</x:v>
      </x:c>
      <x:c r="I31" s="12" t="str">
        <x:v>CNY</x:v>
      </x:c>
      <x:c r="J31" s="12" t="str">
        <x:v>SYNTHETIC</x:v>
      </x:c>
    </x:row>
    <x:row r="32" ht="38" customHeight="1">
      <x:c r="A32" s="12" t="str">
        <x:v>KS-INJECTION-1000-B0028</x:v>
      </x:c>
      <x:c r="B32" s="14" t="n">
        <x:v>45010</x:v>
      </x:c>
      <x:c r="C32" s="12" t="str">
        <x:v>KS-INJECTION-1000-PAY-202303</x:v>
      </x:c>
      <x:c r="D32" s="12" t="str">
        <x:v>模拟工资代发</x:v>
      </x:c>
      <x:c r="E32" s="12" t="str">
        <x:v>工资</x:v>
      </x:c>
      <x:c r="F32" s="13" t="n">
        <x:v>0</x:v>
      </x:c>
      <x:c r="G32" s="13" t="n">
        <x:v>520000</x:v>
      </x:c>
      <x:c r="H32" s="13" t="n">
        <x:v>6464584</x:v>
      </x:c>
      <x:c r="I32" s="12" t="str">
        <x:v>CNY</x:v>
      </x:c>
      <x:c r="J32" s="12" t="str">
        <x:v>SYNTHETIC</x:v>
      </x:c>
    </x:row>
    <x:row r="33" ht="38" customHeight="1">
      <x:c r="A33" s="12" t="str">
        <x:v>KS-INJECTION-1000-B0029</x:v>
      </x:c>
      <x:c r="B33" s="14" t="n">
        <x:v>45010</x:v>
      </x:c>
      <x:c r="C33" s="12" t="str">
        <x:v>KS-INJECTION-1000-ELEC-202303</x:v>
      </x:c>
      <x:c r="D33" s="12" t="str">
        <x:v>模拟供电结算</x:v>
      </x:c>
      <x:c r="E33" s="12" t="str">
        <x:v>电费</x:v>
      </x:c>
      <x:c r="F33" s="13" t="n">
        <x:v>0</x:v>
      </x:c>
      <x:c r="G33" s="13" t="n">
        <x:v>265200</x:v>
      </x:c>
      <x:c r="H33" s="13" t="n">
        <x:v>6199384</x:v>
      </x:c>
      <x:c r="I33" s="12" t="str">
        <x:v>CNY</x:v>
      </x:c>
      <x:c r="J33" s="12" t="str">
        <x:v>SYNTHETIC</x:v>
      </x:c>
    </x:row>
    <x:row r="34" ht="38" customHeight="1">
      <x:c r="A34" s="12" t="str">
        <x:v>KS-INJECTION-1000-B0030</x:v>
      </x:c>
      <x:c r="B34" s="14" t="n">
        <x:v>45010</x:v>
      </x:c>
      <x:c r="C34" s="12" t="str">
        <x:v>KS-INJECTION-1000-OPEX-202303</x:v>
      </x:c>
      <x:c r="D34" s="12" t="str">
        <x:v>模拟费用结算</x:v>
      </x:c>
      <x:c r="E34" s="12" t="str">
        <x:v>管理销售费用</x:v>
      </x:c>
      <x:c r="F34" s="13" t="n">
        <x:v>0</x:v>
      </x:c>
      <x:c r="G34" s="13" t="n">
        <x:v>320000</x:v>
      </x:c>
      <x:c r="H34" s="13" t="n">
        <x:v>5879384</x:v>
      </x:c>
      <x:c r="I34" s="12" t="str">
        <x:v>CNY</x:v>
      </x:c>
      <x:c r="J34" s="12" t="str">
        <x:v>SYNTHETIC</x:v>
      </x:c>
    </x:row>
    <x:row r="35" ht="38" customHeight="1">
      <x:c r="A35" s="12" t="str">
        <x:v>KS-INJECTION-1000-B0031</x:v>
      </x:c>
      <x:c r="B35" s="14" t="n">
        <x:v>45010</x:v>
      </x:c>
      <x:c r="C35" s="12" t="str">
        <x:v>KS-INJECTION-1000-INT-202303</x:v>
      </x:c>
      <x:c r="D35" s="12" t="str">
        <x:v>模拟融资机构</x:v>
      </x:c>
      <x:c r="E35" s="12" t="str">
        <x:v>利息</x:v>
      </x:c>
      <x:c r="F35" s="13" t="n">
        <x:v>0</x:v>
      </x:c>
      <x:c r="G35" s="13" t="n">
        <x:v>25000</x:v>
      </x:c>
      <x:c r="H35" s="13" t="n">
        <x:v>5854384</x:v>
      </x:c>
      <x:c r="I35" s="12" t="str">
        <x:v>CNY</x:v>
      </x:c>
      <x:c r="J35" s="12" t="str">
        <x:v>SYNTHETIC</x:v>
      </x:c>
    </x:row>
    <x:row r="36" ht="38" customHeight="1">
      <x:c r="A36" s="12" t="str">
        <x:v>KS-INJECTION-1000-B0032</x:v>
      </x:c>
      <x:c r="B36" s="14" t="n">
        <x:v>45010</x:v>
      </x:c>
      <x:c r="C36" s="12" t="str">
        <x:v>KS-INJECTION-1000-VAT-202303</x:v>
      </x:c>
      <x:c r="D36" s="12" t="str">
        <x:v>模拟税费账户</x:v>
      </x:c>
      <x:c r="E36" s="12" t="str">
        <x:v>增值税</x:v>
      </x:c>
      <x:c r="F36" s="13" t="n">
        <x:v>0</x:v>
      </x:c>
      <x:c r="G36" s="13" t="n">
        <x:v>317444</x:v>
      </x:c>
      <x:c r="H36" s="13" t="n">
        <x:v>5536940</x:v>
      </x:c>
      <x:c r="I36" s="12" t="str">
        <x:v>CNY</x:v>
      </x:c>
      <x:c r="J36" s="12" t="str">
        <x:v>SYNTHETIC</x:v>
      </x:c>
    </x:row>
    <x:row r="37" ht="38" customHeight="1">
      <x:c r="A37" s="12" t="str">
        <x:v>KS-INJECTION-1000-B0033</x:v>
      </x:c>
      <x:c r="B37" s="14" t="n">
        <x:v>45010</x:v>
      </x:c>
      <x:c r="C37" s="12" t="str">
        <x:v>KS-INJECTION-1000-CIT-202303</x:v>
      </x:c>
      <x:c r="D37" s="12" t="str">
        <x:v>模拟税费账户</x:v>
      </x:c>
      <x:c r="E37" s="12" t="str">
        <x:v>所得税</x:v>
      </x:c>
      <x:c r="F37" s="13" t="n">
        <x:v>0</x:v>
      </x:c>
      <x:c r="G37" s="13" t="n">
        <x:v>282920</x:v>
      </x:c>
      <x:c r="H37" s="13" t="n">
        <x:v>5254020</x:v>
      </x:c>
      <x:c r="I37" s="12" t="str">
        <x:v>CNY</x:v>
      </x:c>
      <x:c r="J37" s="12" t="str">
        <x:v>SYNTHETIC</x:v>
      </x:c>
    </x:row>
    <x:row r="38" ht="38" customHeight="1">
      <x:c r="A38" s="12" t="str">
        <x:v>KS-INJECTION-1000-B0034</x:v>
      </x:c>
      <x:c r="B38" s="14" t="n">
        <x:v>45028</x:v>
      </x:c>
      <x:c r="C38" s="12" t="str">
        <x:v>KS-INJECTION-1000-S-202304-1</x:v>
      </x:c>
      <x:c r="D38" s="12" t="str">
        <x:v>模拟下游1</x:v>
      </x:c>
      <x:c r="E38" s="12" t="str">
        <x:v>销售回款</x:v>
      </x:c>
      <x:c r="F38" s="13" t="n">
        <x:v>1710458</x:v>
      </x:c>
      <x:c r="G38" s="13" t="n">
        <x:v>0</x:v>
      </x:c>
      <x:c r="H38" s="13" t="n">
        <x:v>6964478</x:v>
      </x:c>
      <x:c r="I38" s="12" t="str">
        <x:v>CNY</x:v>
      </x:c>
      <x:c r="J38" s="12" t="str">
        <x:v>SYNTHETIC</x:v>
      </x:c>
    </x:row>
    <x:row r="39" ht="38" customHeight="1">
      <x:c r="A39" s="12" t="str">
        <x:v>KS-INJECTION-1000-B0035</x:v>
      </x:c>
      <x:c r="B39" s="14" t="n">
        <x:v>45029</x:v>
      </x:c>
      <x:c r="C39" s="12" t="str">
        <x:v>KS-INJECTION-1000-S-202304-2</x:v>
      </x:c>
      <x:c r="D39" s="12" t="str">
        <x:v>模拟下游2</x:v>
      </x:c>
      <x:c r="E39" s="12" t="str">
        <x:v>销售回款</x:v>
      </x:c>
      <x:c r="F39" s="13" t="n">
        <x:v>1660151</x:v>
      </x:c>
      <x:c r="G39" s="13" t="n">
        <x:v>0</x:v>
      </x:c>
      <x:c r="H39" s="13" t="n">
        <x:v>8624629</x:v>
      </x:c>
      <x:c r="I39" s="12" t="str">
        <x:v>CNY</x:v>
      </x:c>
      <x:c r="J39" s="12" t="str">
        <x:v>SYNTHETIC</x:v>
      </x:c>
    </x:row>
    <x:row r="40" ht="38" customHeight="1">
      <x:c r="A40" s="12" t="str">
        <x:v>KS-INJECTION-1000-B0036</x:v>
      </x:c>
      <x:c r="B40" s="14" t="n">
        <x:v>45030</x:v>
      </x:c>
      <x:c r="C40" s="12" t="str">
        <x:v>KS-INJECTION-1000-S-202304-3</x:v>
      </x:c>
      <x:c r="D40" s="12" t="str">
        <x:v>模拟下游3</x:v>
      </x:c>
      <x:c r="E40" s="12" t="str">
        <x:v>销售回款</x:v>
      </x:c>
      <x:c r="F40" s="13" t="n">
        <x:v>1660151</x:v>
      </x:c>
      <x:c r="G40" s="13" t="n">
        <x:v>0</x:v>
      </x:c>
      <x:c r="H40" s="13" t="n">
        <x:v>10284780</x:v>
      </x:c>
      <x:c r="I40" s="12" t="str">
        <x:v>CNY</x:v>
      </x:c>
      <x:c r="J40" s="12" t="str">
        <x:v>SYNTHETIC</x:v>
      </x:c>
    </x:row>
    <x:row r="41" ht="38" customHeight="1">
      <x:c r="A41" s="12" t="str">
        <x:v>KS-INJECTION-1000-B0037</x:v>
      </x:c>
      <x:c r="B41" s="14" t="n">
        <x:v>45032</x:v>
      </x:c>
      <x:c r="C41" s="12" t="str">
        <x:v>KS-INJECTION-1000-P-202304-1</x:v>
      </x:c>
      <x:c r="D41" s="12" t="str">
        <x:v>模拟原料商1</x:v>
      </x:c>
      <x:c r="E41" s="12" t="str">
        <x:v>原料付款</x:v>
      </x:c>
      <x:c r="F41" s="13" t="n">
        <x:v>0</x:v>
      </x:c>
      <x:c r="G41" s="13" t="n">
        <x:v>1297936</x:v>
      </x:c>
      <x:c r="H41" s="13" t="n">
        <x:v>8986844</x:v>
      </x:c>
      <x:c r="I41" s="12" t="str">
        <x:v>CNY</x:v>
      </x:c>
      <x:c r="J41" s="12" t="str">
        <x:v>SYNTHETIC</x:v>
      </x:c>
    </x:row>
    <x:row r="42" ht="38" customHeight="1">
      <x:c r="A42" s="12" t="str">
        <x:v>KS-INJECTION-1000-B0038</x:v>
      </x:c>
      <x:c r="B42" s="14" t="n">
        <x:v>45033</x:v>
      </x:c>
      <x:c r="C42" s="12" t="str">
        <x:v>KS-INJECTION-1000-P-202304-2</x:v>
      </x:c>
      <x:c r="D42" s="12" t="str">
        <x:v>模拟原料商2</x:v>
      </x:c>
      <x:c r="E42" s="12" t="str">
        <x:v>原料付款</x:v>
      </x:c>
      <x:c r="F42" s="13" t="n">
        <x:v>0</x:v>
      </x:c>
      <x:c r="G42" s="13" t="n">
        <x:v>865291</x:v>
      </x:c>
      <x:c r="H42" s="13" t="n">
        <x:v>8121553</x:v>
      </x:c>
      <x:c r="I42" s="12" t="str">
        <x:v>CNY</x:v>
      </x:c>
      <x:c r="J42" s="12" t="str">
        <x:v>SYNTHETIC</x:v>
      </x:c>
    </x:row>
    <x:row r="43" ht="38" customHeight="1">
      <x:c r="A43" s="12" t="str">
        <x:v>KS-INJECTION-1000-B0039</x:v>
      </x:c>
      <x:c r="B43" s="14" t="n">
        <x:v>45041</x:v>
      </x:c>
      <x:c r="C43" s="12" t="str">
        <x:v>KS-INJECTION-1000-PAY-202304</x:v>
      </x:c>
      <x:c r="D43" s="12" t="str">
        <x:v>模拟工资代发</x:v>
      </x:c>
      <x:c r="E43" s="12" t="str">
        <x:v>工资</x:v>
      </x:c>
      <x:c r="F43" s="13" t="n">
        <x:v>0</x:v>
      </x:c>
      <x:c r="G43" s="13" t="n">
        <x:v>520000</x:v>
      </x:c>
      <x:c r="H43" s="13" t="n">
        <x:v>7601553</x:v>
      </x:c>
      <x:c r="I43" s="12" t="str">
        <x:v>CNY</x:v>
      </x:c>
      <x:c r="J43" s="12" t="str">
        <x:v>SYNTHETIC</x:v>
      </x:c>
    </x:row>
    <x:row r="44" ht="38" customHeight="1">
      <x:c r="A44" s="12" t="str">
        <x:v>KS-INJECTION-1000-B0040</x:v>
      </x:c>
      <x:c r="B44" s="14" t="n">
        <x:v>45041</x:v>
      </x:c>
      <x:c r="C44" s="12" t="str">
        <x:v>KS-INJECTION-1000-ELEC-202304</x:v>
      </x:c>
      <x:c r="D44" s="12" t="str">
        <x:v>模拟供电结算</x:v>
      </x:c>
      <x:c r="E44" s="12" t="str">
        <x:v>电费</x:v>
      </x:c>
      <x:c r="F44" s="13" t="n">
        <x:v>0</x:v>
      </x:c>
      <x:c r="G44" s="13" t="n">
        <x:v>275600</x:v>
      </x:c>
      <x:c r="H44" s="13" t="n">
        <x:v>7325953</x:v>
      </x:c>
      <x:c r="I44" s="12" t="str">
        <x:v>CNY</x:v>
      </x:c>
      <x:c r="J44" s="12" t="str">
        <x:v>SYNTHETIC</x:v>
      </x:c>
    </x:row>
    <x:row r="45" ht="38" customHeight="1">
      <x:c r="A45" s="12" t="str">
        <x:v>KS-INJECTION-1000-B0041</x:v>
      </x:c>
      <x:c r="B45" s="14" t="n">
        <x:v>45041</x:v>
      </x:c>
      <x:c r="C45" s="12" t="str">
        <x:v>KS-INJECTION-1000-OPEX-202304</x:v>
      </x:c>
      <x:c r="D45" s="12" t="str">
        <x:v>模拟费用结算</x:v>
      </x:c>
      <x:c r="E45" s="12" t="str">
        <x:v>管理销售费用</x:v>
      </x:c>
      <x:c r="F45" s="13" t="n">
        <x:v>0</x:v>
      </x:c>
      <x:c r="G45" s="13" t="n">
        <x:v>320000</x:v>
      </x:c>
      <x:c r="H45" s="13" t="n">
        <x:v>7005953</x:v>
      </x:c>
      <x:c r="I45" s="12" t="str">
        <x:v>CNY</x:v>
      </x:c>
      <x:c r="J45" s="12" t="str">
        <x:v>SYNTHETIC</x:v>
      </x:c>
    </x:row>
    <x:row r="46" ht="38" customHeight="1">
      <x:c r="A46" s="12" t="str">
        <x:v>KS-INJECTION-1000-B0042</x:v>
      </x:c>
      <x:c r="B46" s="14" t="n">
        <x:v>45041</x:v>
      </x:c>
      <x:c r="C46" s="12" t="str">
        <x:v>KS-INJECTION-1000-INT-202304</x:v>
      </x:c>
      <x:c r="D46" s="12" t="str">
        <x:v>模拟融资机构</x:v>
      </x:c>
      <x:c r="E46" s="12" t="str">
        <x:v>利息</x:v>
      </x:c>
      <x:c r="F46" s="13" t="n">
        <x:v>0</x:v>
      </x:c>
      <x:c r="G46" s="13" t="n">
        <x:v>25000</x:v>
      </x:c>
      <x:c r="H46" s="13" t="n">
        <x:v>6980953</x:v>
      </x:c>
      <x:c r="I46" s="12" t="str">
        <x:v>CNY</x:v>
      </x:c>
      <x:c r="J46" s="12" t="str">
        <x:v>SYNTHETIC</x:v>
      </x:c>
    </x:row>
    <x:row r="47" ht="38" customHeight="1">
      <x:c r="A47" s="12" t="str">
        <x:v>KS-INJECTION-1000-B0043</x:v>
      </x:c>
      <x:c r="B47" s="14" t="n">
        <x:v>45041</x:v>
      </x:c>
      <x:c r="C47" s="12" t="str">
        <x:v>KS-INJECTION-1000-VAT-202304</x:v>
      </x:c>
      <x:c r="D47" s="12" t="str">
        <x:v>模拟税费账户</x:v>
      </x:c>
      <x:c r="E47" s="12" t="str">
        <x:v>增值税</x:v>
      </x:c>
      <x:c r="F47" s="13" t="n">
        <x:v>0</x:v>
      </x:c>
      <x:c r="G47" s="13" t="n">
        <x:v>329893</x:v>
      </x:c>
      <x:c r="H47" s="13" t="n">
        <x:v>6651060</x:v>
      </x:c>
      <x:c r="I47" s="12" t="str">
        <x:v>CNY</x:v>
      </x:c>
      <x:c r="J47" s="12" t="str">
        <x:v>SYNTHETIC</x:v>
      </x:c>
    </x:row>
    <x:row r="48" ht="38" customHeight="1">
      <x:c r="A48" s="12" t="str">
        <x:v>KS-INJECTION-1000-B0044</x:v>
      </x:c>
      <x:c r="B48" s="14" t="n">
        <x:v>45041</x:v>
      </x:c>
      <x:c r="C48" s="12" t="str">
        <x:v>KS-INJECTION-1000-CIT-202304</x:v>
      </x:c>
      <x:c r="D48" s="12" t="str">
        <x:v>模拟税费账户</x:v>
      </x:c>
      <x:c r="E48" s="12" t="str">
        <x:v>所得税</x:v>
      </x:c>
      <x:c r="F48" s="13" t="n">
        <x:v>0</x:v>
      </x:c>
      <x:c r="G48" s="13" t="n">
        <x:v>304260</x:v>
      </x:c>
      <x:c r="H48" s="13" t="n">
        <x:v>6346800</x:v>
      </x:c>
      <x:c r="I48" s="12" t="str">
        <x:v>CNY</x:v>
      </x:c>
      <x:c r="J48" s="12" t="str">
        <x:v>SYNTHETIC</x:v>
      </x:c>
    </x:row>
    <x:row r="49" ht="38" customHeight="1">
      <x:c r="A49" s="12" t="str">
        <x:v>KS-INJECTION-1000-B0045</x:v>
      </x:c>
      <x:c r="B49" s="14" t="n">
        <x:v>45058</x:v>
      </x:c>
      <x:c r="C49" s="12" t="str">
        <x:v>KS-INJECTION-1000-S-202305-1</x:v>
      </x:c>
      <x:c r="D49" s="12" t="str">
        <x:v>模拟下游1</x:v>
      </x:c>
      <x:c r="E49" s="12" t="str">
        <x:v>销售回款</x:v>
      </x:c>
      <x:c r="F49" s="13" t="n">
        <x:v>1775004</x:v>
      </x:c>
      <x:c r="G49" s="13" t="n">
        <x:v>0</x:v>
      </x:c>
      <x:c r="H49" s="13" t="n">
        <x:v>8121804</x:v>
      </x:c>
      <x:c r="I49" s="12" t="str">
        <x:v>CNY</x:v>
      </x:c>
      <x:c r="J49" s="12" t="str">
        <x:v>SYNTHETIC</x:v>
      </x:c>
    </x:row>
    <x:row r="50" ht="38" customHeight="1">
      <x:c r="A50" s="12" t="str">
        <x:v>KS-INJECTION-1000-B0046</x:v>
      </x:c>
      <x:c r="B50" s="14" t="n">
        <x:v>45059</x:v>
      </x:c>
      <x:c r="C50" s="12" t="str">
        <x:v>KS-INJECTION-1000-S-202305-2</x:v>
      </x:c>
      <x:c r="D50" s="12" t="str">
        <x:v>模拟下游2</x:v>
      </x:c>
      <x:c r="E50" s="12" t="str">
        <x:v>销售回款</x:v>
      </x:c>
      <x:c r="F50" s="13" t="n">
        <x:v>1722798</x:v>
      </x:c>
      <x:c r="G50" s="13" t="n">
        <x:v>0</x:v>
      </x:c>
      <x:c r="H50" s="13" t="n">
        <x:v>9844602</x:v>
      </x:c>
      <x:c r="I50" s="12" t="str">
        <x:v>CNY</x:v>
      </x:c>
      <x:c r="J50" s="12" t="str">
        <x:v>SYNTHETIC</x:v>
      </x:c>
    </x:row>
    <x:row r="51" ht="38" customHeight="1">
      <x:c r="A51" s="12" t="str">
        <x:v>KS-INJECTION-1000-B0047</x:v>
      </x:c>
      <x:c r="B51" s="14" t="n">
        <x:v>45060</x:v>
      </x:c>
      <x:c r="C51" s="12" t="str">
        <x:v>KS-INJECTION-1000-S-202305-3</x:v>
      </x:c>
      <x:c r="D51" s="12" t="str">
        <x:v>模拟下游3</x:v>
      </x:c>
      <x:c r="E51" s="12" t="str">
        <x:v>销售回款</x:v>
      </x:c>
      <x:c r="F51" s="13" t="n">
        <x:v>1722798</x:v>
      </x:c>
      <x:c r="G51" s="13" t="n">
        <x:v>0</x:v>
      </x:c>
      <x:c r="H51" s="13" t="n">
        <x:v>11567400</x:v>
      </x:c>
      <x:c r="I51" s="12" t="str">
        <x:v>CNY</x:v>
      </x:c>
      <x:c r="J51" s="12" t="str">
        <x:v>SYNTHETIC</x:v>
      </x:c>
    </x:row>
    <x:row r="52" ht="38" customHeight="1">
      <x:c r="A52" s="12" t="str">
        <x:v>KS-INJECTION-1000-B0048</x:v>
      </x:c>
      <x:c r="B52" s="14" t="n">
        <x:v>45062</x:v>
      </x:c>
      <x:c r="C52" s="12" t="str">
        <x:v>KS-INJECTION-1000-P-202305-1</x:v>
      </x:c>
      <x:c r="D52" s="12" t="str">
        <x:v>模拟原料商1</x:v>
      </x:c>
      <x:c r="E52" s="12" t="str">
        <x:v>原料付款</x:v>
      </x:c>
      <x:c r="F52" s="13" t="n">
        <x:v>0</x:v>
      </x:c>
      <x:c r="G52" s="13" t="n">
        <x:v>1346915</x:v>
      </x:c>
      <x:c r="H52" s="13" t="n">
        <x:v>10220485</x:v>
      </x:c>
      <x:c r="I52" s="12" t="str">
        <x:v>CNY</x:v>
      </x:c>
      <x:c r="J52" s="12" t="str">
        <x:v>SYNTHETIC</x:v>
      </x:c>
    </x:row>
    <x:row r="53" ht="38" customHeight="1">
      <x:c r="A53" s="12" t="str">
        <x:v>KS-INJECTION-1000-B0049</x:v>
      </x:c>
      <x:c r="B53" s="14" t="n">
        <x:v>45063</x:v>
      </x:c>
      <x:c r="C53" s="12" t="str">
        <x:v>KS-INJECTION-1000-P-202305-2</x:v>
      </x:c>
      <x:c r="D53" s="12" t="str">
        <x:v>模拟原料商2</x:v>
      </x:c>
      <x:c r="E53" s="12" t="str">
        <x:v>原料付款</x:v>
      </x:c>
      <x:c r="F53" s="13" t="n">
        <x:v>0</x:v>
      </x:c>
      <x:c r="G53" s="13" t="n">
        <x:v>897943</x:v>
      </x:c>
      <x:c r="H53" s="13" t="n">
        <x:v>9322542</x:v>
      </x:c>
      <x:c r="I53" s="12" t="str">
        <x:v>CNY</x:v>
      </x:c>
      <x:c r="J53" s="12" t="str">
        <x:v>SYNTHETIC</x:v>
      </x:c>
    </x:row>
    <x:row r="54" ht="38" customHeight="1">
      <x:c r="A54" s="12" t="str">
        <x:v>KS-INJECTION-1000-B0050</x:v>
      </x:c>
      <x:c r="B54" s="14" t="n">
        <x:v>45071</x:v>
      </x:c>
      <x:c r="C54" s="12" t="str">
        <x:v>KS-INJECTION-1000-PAY-202305</x:v>
      </x:c>
      <x:c r="D54" s="12" t="str">
        <x:v>模拟工资代发</x:v>
      </x:c>
      <x:c r="E54" s="12" t="str">
        <x:v>工资</x:v>
      </x:c>
      <x:c r="F54" s="13" t="n">
        <x:v>0</x:v>
      </x:c>
      <x:c r="G54" s="13" t="n">
        <x:v>520000</x:v>
      </x:c>
      <x:c r="H54" s="13" t="n">
        <x:v>8802542</x:v>
      </x:c>
      <x:c r="I54" s="12" t="str">
        <x:v>CNY</x:v>
      </x:c>
      <x:c r="J54" s="12" t="str">
        <x:v>SYNTHETIC</x:v>
      </x:c>
    </x:row>
    <x:row r="55" ht="38" customHeight="1">
      <x:c r="A55" s="12" t="str">
        <x:v>KS-INJECTION-1000-B0051</x:v>
      </x:c>
      <x:c r="B55" s="14" t="n">
        <x:v>45071</x:v>
      </x:c>
      <x:c r="C55" s="12" t="str">
        <x:v>KS-INJECTION-1000-ELEC-202305</x:v>
      </x:c>
      <x:c r="D55" s="12" t="str">
        <x:v>模拟供电结算</x:v>
      </x:c>
      <x:c r="E55" s="12" t="str">
        <x:v>电费</x:v>
      </x:c>
      <x:c r="F55" s="13" t="n">
        <x:v>0</x:v>
      </x:c>
      <x:c r="G55" s="13" t="n">
        <x:v>286000</x:v>
      </x:c>
      <x:c r="H55" s="13" t="n">
        <x:v>8516542</x:v>
      </x:c>
      <x:c r="I55" s="12" t="str">
        <x:v>CNY</x:v>
      </x:c>
      <x:c r="J55" s="12" t="str">
        <x:v>SYNTHETIC</x:v>
      </x:c>
    </x:row>
    <x:row r="56" ht="38" customHeight="1">
      <x:c r="A56" s="12" t="str">
        <x:v>KS-INJECTION-1000-B0052</x:v>
      </x:c>
      <x:c r="B56" s="14" t="n">
        <x:v>45071</x:v>
      </x:c>
      <x:c r="C56" s="12" t="str">
        <x:v>KS-INJECTION-1000-OPEX-202305</x:v>
      </x:c>
      <x:c r="D56" s="12" t="str">
        <x:v>模拟费用结算</x:v>
      </x:c>
      <x:c r="E56" s="12" t="str">
        <x:v>管理销售费用</x:v>
      </x:c>
      <x:c r="F56" s="13" t="n">
        <x:v>0</x:v>
      </x:c>
      <x:c r="G56" s="13" t="n">
        <x:v>320000</x:v>
      </x:c>
      <x:c r="H56" s="13" t="n">
        <x:v>8196542</x:v>
      </x:c>
      <x:c r="I56" s="12" t="str">
        <x:v>CNY</x:v>
      </x:c>
      <x:c r="J56" s="12" t="str">
        <x:v>SYNTHETIC</x:v>
      </x:c>
    </x:row>
    <x:row r="57" ht="38" customHeight="1">
      <x:c r="A57" s="12" t="str">
        <x:v>KS-INJECTION-1000-B0053</x:v>
      </x:c>
      <x:c r="B57" s="14" t="n">
        <x:v>45071</x:v>
      </x:c>
      <x:c r="C57" s="12" t="str">
        <x:v>KS-INJECTION-1000-INT-202305</x:v>
      </x:c>
      <x:c r="D57" s="12" t="str">
        <x:v>模拟融资机构</x:v>
      </x:c>
      <x:c r="E57" s="12" t="str">
        <x:v>利息</x:v>
      </x:c>
      <x:c r="F57" s="13" t="n">
        <x:v>0</x:v>
      </x:c>
      <x:c r="G57" s="13" t="n">
        <x:v>25000</x:v>
      </x:c>
      <x:c r="H57" s="13" t="n">
        <x:v>8171542</x:v>
      </x:c>
      <x:c r="I57" s="12" t="str">
        <x:v>CNY</x:v>
      </x:c>
      <x:c r="J57" s="12" t="str">
        <x:v>SYNTHETIC</x:v>
      </x:c>
    </x:row>
    <x:row r="58" ht="38" customHeight="1">
      <x:c r="A58" s="12" t="str">
        <x:v>KS-INJECTION-1000-B0054</x:v>
      </x:c>
      <x:c r="B58" s="14" t="n">
        <x:v>45071</x:v>
      </x:c>
      <x:c r="C58" s="12" t="str">
        <x:v>KS-INJECTION-1000-VAT-202305</x:v>
      </x:c>
      <x:c r="D58" s="12" t="str">
        <x:v>模拟税费账户</x:v>
      </x:c>
      <x:c r="E58" s="12" t="str">
        <x:v>增值税</x:v>
      </x:c>
      <x:c r="F58" s="13" t="n">
        <x:v>0</x:v>
      </x:c>
      <x:c r="G58" s="13" t="n">
        <x:v>342342</x:v>
      </x:c>
      <x:c r="H58" s="13" t="n">
        <x:v>7829200</x:v>
      </x:c>
      <x:c r="I58" s="12" t="str">
        <x:v>CNY</x:v>
      </x:c>
      <x:c r="J58" s="12" t="str">
        <x:v>SYNTHETIC</x:v>
      </x:c>
    </x:row>
    <x:row r="59" ht="38" customHeight="1">
      <x:c r="A59" s="12" t="str">
        <x:v>KS-INJECTION-1000-B0055</x:v>
      </x:c>
      <x:c r="B59" s="14" t="n">
        <x:v>45071</x:v>
      </x:c>
      <x:c r="C59" s="12" t="str">
        <x:v>KS-INJECTION-1000-CIT-202305</x:v>
      </x:c>
      <x:c r="D59" s="12" t="str">
        <x:v>模拟税费账户</x:v>
      </x:c>
      <x:c r="E59" s="12" t="str">
        <x:v>所得税</x:v>
      </x:c>
      <x:c r="F59" s="13" t="n">
        <x:v>0</x:v>
      </x:c>
      <x:c r="G59" s="13" t="n">
        <x:v>325600</x:v>
      </x:c>
      <x:c r="H59" s="13" t="n">
        <x:v>7503600</x:v>
      </x:c>
      <x:c r="I59" s="12" t="str">
        <x:v>CNY</x:v>
      </x:c>
      <x:c r="J59" s="12" t="str">
        <x:v>SYNTHETIC</x:v>
      </x:c>
    </x:row>
    <x:row r="60" ht="38" customHeight="1">
      <x:c r="A60" s="12" t="str">
        <x:v>KS-INJECTION-1000-B0056</x:v>
      </x:c>
      <x:c r="B60" s="14" t="n">
        <x:v>45089</x:v>
      </x:c>
      <x:c r="C60" s="12" t="str">
        <x:v>KS-INJECTION-1000-S-202306-1</x:v>
      </x:c>
      <x:c r="D60" s="12" t="str">
        <x:v>模拟下游1</x:v>
      </x:c>
      <x:c r="E60" s="12" t="str">
        <x:v>销售回款</x:v>
      </x:c>
      <x:c r="F60" s="13" t="n">
        <x:v>1694322</x:v>
      </x:c>
      <x:c r="G60" s="13" t="n">
        <x:v>0</x:v>
      </x:c>
      <x:c r="H60" s="13" t="n">
        <x:v>9197922</x:v>
      </x:c>
      <x:c r="I60" s="12" t="str">
        <x:v>CNY</x:v>
      </x:c>
      <x:c r="J60" s="12" t="str">
        <x:v>SYNTHETIC</x:v>
      </x:c>
    </x:row>
    <x:row r="61" ht="38" customHeight="1">
      <x:c r="A61" s="12" t="str">
        <x:v>KS-INJECTION-1000-B0057</x:v>
      </x:c>
      <x:c r="B61" s="14" t="n">
        <x:v>45090</x:v>
      </x:c>
      <x:c r="C61" s="12" t="str">
        <x:v>KS-INJECTION-1000-S-202306-2</x:v>
      </x:c>
      <x:c r="D61" s="12" t="str">
        <x:v>模拟下游2</x:v>
      </x:c>
      <x:c r="E61" s="12" t="str">
        <x:v>销售回款</x:v>
      </x:c>
      <x:c r="F61" s="13" t="n">
        <x:v>1644489</x:v>
      </x:c>
      <x:c r="G61" s="13" t="n">
        <x:v>0</x:v>
      </x:c>
      <x:c r="H61" s="13" t="n">
        <x:v>10842411</x:v>
      </x:c>
      <x:c r="I61" s="12" t="str">
        <x:v>CNY</x:v>
      </x:c>
      <x:c r="J61" s="12" t="str">
        <x:v>SYNTHETIC</x:v>
      </x:c>
    </x:row>
    <x:row r="62" ht="38" customHeight="1">
      <x:c r="A62" s="12" t="str">
        <x:v>KS-INJECTION-1000-B0058</x:v>
      </x:c>
      <x:c r="B62" s="14" t="n">
        <x:v>45091</x:v>
      </x:c>
      <x:c r="C62" s="12" t="str">
        <x:v>KS-INJECTION-1000-S-202306-3</x:v>
      </x:c>
      <x:c r="D62" s="12" t="str">
        <x:v>模拟下游3</x:v>
      </x:c>
      <x:c r="E62" s="12" t="str">
        <x:v>销售回款</x:v>
      </x:c>
      <x:c r="F62" s="13" t="n">
        <x:v>1644489</x:v>
      </x:c>
      <x:c r="G62" s="13" t="n">
        <x:v>0</x:v>
      </x:c>
      <x:c r="H62" s="13" t="n">
        <x:v>12486900</x:v>
      </x:c>
      <x:c r="I62" s="12" t="str">
        <x:v>CNY</x:v>
      </x:c>
      <x:c r="J62" s="12" t="str">
        <x:v>SYNTHETIC</x:v>
      </x:c>
    </x:row>
    <x:row r="63" ht="38" customHeight="1">
      <x:c r="A63" s="12" t="str">
        <x:v>KS-INJECTION-1000-B0059</x:v>
      </x:c>
      <x:c r="B63" s="14" t="n">
        <x:v>45093</x:v>
      </x:c>
      <x:c r="C63" s="12" t="str">
        <x:v>KS-INJECTION-1000-P-202306-1</x:v>
      </x:c>
      <x:c r="D63" s="12" t="str">
        <x:v>模拟原料商1</x:v>
      </x:c>
      <x:c r="E63" s="12" t="str">
        <x:v>原料付款</x:v>
      </x:c>
      <x:c r="F63" s="13" t="n">
        <x:v>0</x:v>
      </x:c>
      <x:c r="G63" s="13" t="n">
        <x:v>1285691</x:v>
      </x:c>
      <x:c r="H63" s="13" t="n">
        <x:v>11201209</x:v>
      </x:c>
      <x:c r="I63" s="12" t="str">
        <x:v>CNY</x:v>
      </x:c>
      <x:c r="J63" s="12" t="str">
        <x:v>SYNTHETIC</x:v>
      </x:c>
    </x:row>
    <x:row r="64" ht="38" customHeight="1">
      <x:c r="A64" s="12" t="str">
        <x:v>KS-INJECTION-1000-B0060</x:v>
      </x:c>
      <x:c r="B64" s="14" t="n">
        <x:v>45094</x:v>
      </x:c>
      <x:c r="C64" s="12" t="str">
        <x:v>KS-INJECTION-1000-P-202306-2</x:v>
      </x:c>
      <x:c r="D64" s="12" t="str">
        <x:v>模拟原料商2</x:v>
      </x:c>
      <x:c r="E64" s="12" t="str">
        <x:v>原料付款</x:v>
      </x:c>
      <x:c r="F64" s="13" t="n">
        <x:v>0</x:v>
      </x:c>
      <x:c r="G64" s="13" t="n">
        <x:v>857128</x:v>
      </x:c>
      <x:c r="H64" s="13" t="n">
        <x:v>10344081</x:v>
      </x:c>
      <x:c r="I64" s="12" t="str">
        <x:v>CNY</x:v>
      </x:c>
      <x:c r="J64" s="12" t="str">
        <x:v>SYNTHETIC</x:v>
      </x:c>
    </x:row>
    <x:row r="65" ht="38" customHeight="1">
      <x:c r="A65" s="12" t="str">
        <x:v>KS-INJECTION-1000-B0061</x:v>
      </x:c>
      <x:c r="B65" s="14" t="n">
        <x:v>45102</x:v>
      </x:c>
      <x:c r="C65" s="12" t="str">
        <x:v>KS-INJECTION-1000-PAY-202306</x:v>
      </x:c>
      <x:c r="D65" s="12" t="str">
        <x:v>模拟工资代发</x:v>
      </x:c>
      <x:c r="E65" s="12" t="str">
        <x:v>工资</x:v>
      </x:c>
      <x:c r="F65" s="13" t="n">
        <x:v>0</x:v>
      </x:c>
      <x:c r="G65" s="13" t="n">
        <x:v>520000</x:v>
      </x:c>
      <x:c r="H65" s="13" t="n">
        <x:v>9824081</x:v>
      </x:c>
      <x:c r="I65" s="12" t="str">
        <x:v>CNY</x:v>
      </x:c>
      <x:c r="J65" s="12" t="str">
        <x:v>SYNTHETIC</x:v>
      </x:c>
    </x:row>
    <x:row r="66" ht="38" customHeight="1">
      <x:c r="A66" s="12" t="str">
        <x:v>KS-INJECTION-1000-B0062</x:v>
      </x:c>
      <x:c r="B66" s="14" t="n">
        <x:v>45102</x:v>
      </x:c>
      <x:c r="C66" s="12" t="str">
        <x:v>KS-INJECTION-1000-ELEC-202306</x:v>
      </x:c>
      <x:c r="D66" s="12" t="str">
        <x:v>模拟供电结算</x:v>
      </x:c>
      <x:c r="E66" s="12" t="str">
        <x:v>电费</x:v>
      </x:c>
      <x:c r="F66" s="13" t="n">
        <x:v>0</x:v>
      </x:c>
      <x:c r="G66" s="13" t="n">
        <x:v>273000</x:v>
      </x:c>
      <x:c r="H66" s="13" t="n">
        <x:v>9551081</x:v>
      </x:c>
      <x:c r="I66" s="12" t="str">
        <x:v>CNY</x:v>
      </x:c>
      <x:c r="J66" s="12" t="str">
        <x:v>SYNTHETIC</x:v>
      </x:c>
    </x:row>
    <x:row r="67" ht="38" customHeight="1">
      <x:c r="A67" s="12" t="str">
        <x:v>KS-INJECTION-1000-B0063</x:v>
      </x:c>
      <x:c r="B67" s="14" t="n">
        <x:v>45102</x:v>
      </x:c>
      <x:c r="C67" s="12" t="str">
        <x:v>KS-INJECTION-1000-OPEX-202306</x:v>
      </x:c>
      <x:c r="D67" s="12" t="str">
        <x:v>模拟费用结算</x:v>
      </x:c>
      <x:c r="E67" s="12" t="str">
        <x:v>管理销售费用</x:v>
      </x:c>
      <x:c r="F67" s="13" t="n">
        <x:v>0</x:v>
      </x:c>
      <x:c r="G67" s="13" t="n">
        <x:v>320000</x:v>
      </x:c>
      <x:c r="H67" s="13" t="n">
        <x:v>9231081</x:v>
      </x:c>
      <x:c r="I67" s="12" t="str">
        <x:v>CNY</x:v>
      </x:c>
      <x:c r="J67" s="12" t="str">
        <x:v>SYNTHETIC</x:v>
      </x:c>
    </x:row>
    <x:row r="68" ht="38" customHeight="1">
      <x:c r="A68" s="12" t="str">
        <x:v>KS-INJECTION-1000-B0064</x:v>
      </x:c>
      <x:c r="B68" s="14" t="n">
        <x:v>45102</x:v>
      </x:c>
      <x:c r="C68" s="12" t="str">
        <x:v>KS-INJECTION-1000-INT-202306</x:v>
      </x:c>
      <x:c r="D68" s="12" t="str">
        <x:v>模拟融资机构</x:v>
      </x:c>
      <x:c r="E68" s="12" t="str">
        <x:v>利息</x:v>
      </x:c>
      <x:c r="F68" s="13" t="n">
        <x:v>0</x:v>
      </x:c>
      <x:c r="G68" s="13" t="n">
        <x:v>25000</x:v>
      </x:c>
      <x:c r="H68" s="13" t="n">
        <x:v>9206081</x:v>
      </x:c>
      <x:c r="I68" s="12" t="str">
        <x:v>CNY</x:v>
      </x:c>
      <x:c r="J68" s="12" t="str">
        <x:v>SYNTHETIC</x:v>
      </x:c>
    </x:row>
    <x:row r="69" ht="38" customHeight="1">
      <x:c r="A69" s="12" t="str">
        <x:v>KS-INJECTION-1000-B0065</x:v>
      </x:c>
      <x:c r="B69" s="14" t="n">
        <x:v>45102</x:v>
      </x:c>
      <x:c r="C69" s="12" t="str">
        <x:v>KS-INJECTION-1000-VAT-202306</x:v>
      </x:c>
      <x:c r="D69" s="12" t="str">
        <x:v>模拟税费账户</x:v>
      </x:c>
      <x:c r="E69" s="12" t="str">
        <x:v>增值税</x:v>
      </x:c>
      <x:c r="F69" s="13" t="n">
        <x:v>0</x:v>
      </x:c>
      <x:c r="G69" s="13" t="n">
        <x:v>326781</x:v>
      </x:c>
      <x:c r="H69" s="13" t="n">
        <x:v>8879300</x:v>
      </x:c>
      <x:c r="I69" s="12" t="str">
        <x:v>CNY</x:v>
      </x:c>
      <x:c r="J69" s="12" t="str">
        <x:v>SYNTHETIC</x:v>
      </x:c>
    </x:row>
    <x:row r="70" ht="38" customHeight="1">
      <x:c r="A70" s="12" t="str">
        <x:v>KS-INJECTION-1000-B0066</x:v>
      </x:c>
      <x:c r="B70" s="14" t="n">
        <x:v>45102</x:v>
      </x:c>
      <x:c r="C70" s="12" t="str">
        <x:v>KS-INJECTION-1000-CIT-202306</x:v>
      </x:c>
      <x:c r="D70" s="12" t="str">
        <x:v>模拟税费账户</x:v>
      </x:c>
      <x:c r="E70" s="12" t="str">
        <x:v>所得税</x:v>
      </x:c>
      <x:c r="F70" s="13" t="n">
        <x:v>0</x:v>
      </x:c>
      <x:c r="G70" s="13" t="n">
        <x:v>298925</x:v>
      </x:c>
      <x:c r="H70" s="13" t="n">
        <x:v>8580375</x:v>
      </x:c>
      <x:c r="I70" s="12" t="str">
        <x:v>CNY</x:v>
      </x:c>
      <x:c r="J70" s="12" t="str">
        <x:v>SYNTHETIC</x:v>
      </x:c>
    </x:row>
    <x:row r="71" ht="38" customHeight="1">
      <x:c r="A71" s="12" t="str">
        <x:v>KS-INJECTION-1000-B0067</x:v>
      </x:c>
      <x:c r="B71" s="14" t="n">
        <x:v>45119</x:v>
      </x:c>
      <x:c r="C71" s="12" t="str">
        <x:v>KS-INJECTION-1000-S-202307-1</x:v>
      </x:c>
      <x:c r="D71" s="12" t="str">
        <x:v>模拟下游1</x:v>
      </x:c>
      <x:c r="E71" s="12" t="str">
        <x:v>销售回款</x:v>
      </x:c>
      <x:c r="F71" s="13" t="n">
        <x:v>1742731</x:v>
      </x:c>
      <x:c r="G71" s="13" t="n">
        <x:v>0</x:v>
      </x:c>
      <x:c r="H71" s="13" t="n">
        <x:v>10323106</x:v>
      </x:c>
      <x:c r="I71" s="12" t="str">
        <x:v>CNY</x:v>
      </x:c>
      <x:c r="J71" s="12" t="str">
        <x:v>SYNTHETIC</x:v>
      </x:c>
    </x:row>
    <x:row r="72" ht="38" customHeight="1">
      <x:c r="A72" s="12" t="str">
        <x:v>KS-INJECTION-1000-B0068</x:v>
      </x:c>
      <x:c r="B72" s="14" t="n">
        <x:v>45120</x:v>
      </x:c>
      <x:c r="C72" s="12" t="str">
        <x:v>KS-INJECTION-1000-S-202307-2</x:v>
      </x:c>
      <x:c r="D72" s="12" t="str">
        <x:v>模拟下游2</x:v>
      </x:c>
      <x:c r="E72" s="12" t="str">
        <x:v>销售回款</x:v>
      </x:c>
      <x:c r="F72" s="13" t="n">
        <x:v>1691474</x:v>
      </x:c>
      <x:c r="G72" s="13" t="n">
        <x:v>0</x:v>
      </x:c>
      <x:c r="H72" s="13" t="n">
        <x:v>12014580</x:v>
      </x:c>
      <x:c r="I72" s="12" t="str">
        <x:v>CNY</x:v>
      </x:c>
      <x:c r="J72" s="12" t="str">
        <x:v>SYNTHETIC</x:v>
      </x:c>
    </x:row>
    <x:row r="73" ht="38" customHeight="1">
      <x:c r="A73" s="12" t="str">
        <x:v>KS-INJECTION-1000-B0069</x:v>
      </x:c>
      <x:c r="B73" s="14" t="n">
        <x:v>45121</x:v>
      </x:c>
      <x:c r="C73" s="12" t="str">
        <x:v>KS-INJECTION-1000-S-202307-3</x:v>
      </x:c>
      <x:c r="D73" s="12" t="str">
        <x:v>模拟下游3</x:v>
      </x:c>
      <x:c r="E73" s="12" t="str">
        <x:v>销售回款</x:v>
      </x:c>
      <x:c r="F73" s="13" t="n">
        <x:v>1691475</x:v>
      </x:c>
      <x:c r="G73" s="13" t="n">
        <x:v>0</x:v>
      </x:c>
      <x:c r="H73" s="13" t="n">
        <x:v>13706055</x:v>
      </x:c>
      <x:c r="I73" s="12" t="str">
        <x:v>CNY</x:v>
      </x:c>
      <x:c r="J73" s="12" t="str">
        <x:v>SYNTHETIC</x:v>
      </x:c>
    </x:row>
    <x:row r="74" ht="38" customHeight="1">
      <x:c r="A74" s="12" t="str">
        <x:v>KS-INJECTION-1000-B0070</x:v>
      </x:c>
      <x:c r="B74" s="14" t="n">
        <x:v>45123</x:v>
      </x:c>
      <x:c r="C74" s="12" t="str">
        <x:v>KS-INJECTION-1000-P-202307-1</x:v>
      </x:c>
      <x:c r="D74" s="12" t="str">
        <x:v>模拟原料商1</x:v>
      </x:c>
      <x:c r="E74" s="12" t="str">
        <x:v>原料付款</x:v>
      </x:c>
      <x:c r="F74" s="13" t="n">
        <x:v>0</x:v>
      </x:c>
      <x:c r="G74" s="13" t="n">
        <x:v>1322425</x:v>
      </x:c>
      <x:c r="H74" s="13" t="n">
        <x:v>12383630</x:v>
      </x:c>
      <x:c r="I74" s="12" t="str">
        <x:v>CNY</x:v>
      </x:c>
      <x:c r="J74" s="12" t="str">
        <x:v>SYNTHETIC</x:v>
      </x:c>
    </x:row>
    <x:row r="75" ht="38" customHeight="1">
      <x:c r="A75" s="12" t="str">
        <x:v>KS-INJECTION-1000-B0071</x:v>
      </x:c>
      <x:c r="B75" s="14" t="n">
        <x:v>45124</x:v>
      </x:c>
      <x:c r="C75" s="12" t="str">
        <x:v>KS-INJECTION-1000-P-202307-2</x:v>
      </x:c>
      <x:c r="D75" s="12" t="str">
        <x:v>模拟原料商2</x:v>
      </x:c>
      <x:c r="E75" s="12" t="str">
        <x:v>原料付款</x:v>
      </x:c>
      <x:c r="F75" s="13" t="n">
        <x:v>0</x:v>
      </x:c>
      <x:c r="G75" s="13" t="n">
        <x:v>881617</x:v>
      </x:c>
      <x:c r="H75" s="13" t="n">
        <x:v>11502013</x:v>
      </x:c>
      <x:c r="I75" s="12" t="str">
        <x:v>CNY</x:v>
      </x:c>
      <x:c r="J75" s="12" t="str">
        <x:v>SYNTHETIC</x:v>
      </x:c>
    </x:row>
    <x:row r="76" ht="38" customHeight="1">
      <x:c r="A76" s="12" t="str">
        <x:v>KS-INJECTION-1000-B0072</x:v>
      </x:c>
      <x:c r="B76" s="14" t="n">
        <x:v>45132</x:v>
      </x:c>
      <x:c r="C76" s="12" t="str">
        <x:v>KS-INJECTION-1000-PAY-202307</x:v>
      </x:c>
      <x:c r="D76" s="12" t="str">
        <x:v>模拟工资代发</x:v>
      </x:c>
      <x:c r="E76" s="12" t="str">
        <x:v>工资</x:v>
      </x:c>
      <x:c r="F76" s="13" t="n">
        <x:v>0</x:v>
      </x:c>
      <x:c r="G76" s="13" t="n">
        <x:v>520000</x:v>
      </x:c>
      <x:c r="H76" s="13" t="n">
        <x:v>10982013</x:v>
      </x:c>
      <x:c r="I76" s="12" t="str">
        <x:v>CNY</x:v>
      </x:c>
      <x:c r="J76" s="12" t="str">
        <x:v>SYNTHETIC</x:v>
      </x:c>
    </x:row>
    <x:row r="77" ht="38" customHeight="1">
      <x:c r="A77" s="12" t="str">
        <x:v>KS-INJECTION-1000-B0073</x:v>
      </x:c>
      <x:c r="B77" s="14" t="n">
        <x:v>45132</x:v>
      </x:c>
      <x:c r="C77" s="12" t="str">
        <x:v>KS-INJECTION-1000-ELEC-202307</x:v>
      </x:c>
      <x:c r="D77" s="12" t="str">
        <x:v>模拟供电结算</x:v>
      </x:c>
      <x:c r="E77" s="12" t="str">
        <x:v>电费</x:v>
      </x:c>
      <x:c r="F77" s="13" t="n">
        <x:v>0</x:v>
      </x:c>
      <x:c r="G77" s="13" t="n">
        <x:v>280800</x:v>
      </x:c>
      <x:c r="H77" s="13" t="n">
        <x:v>10701213</x:v>
      </x:c>
      <x:c r="I77" s="12" t="str">
        <x:v>CNY</x:v>
      </x:c>
      <x:c r="J77" s="12" t="str">
        <x:v>SYNTHETIC</x:v>
      </x:c>
    </x:row>
    <x:row r="78" ht="38" customHeight="1">
      <x:c r="A78" s="12" t="str">
        <x:v>KS-INJECTION-1000-B0074</x:v>
      </x:c>
      <x:c r="B78" s="14" t="n">
        <x:v>45132</x:v>
      </x:c>
      <x:c r="C78" s="12" t="str">
        <x:v>KS-INJECTION-1000-OPEX-202307</x:v>
      </x:c>
      <x:c r="D78" s="12" t="str">
        <x:v>模拟费用结算</x:v>
      </x:c>
      <x:c r="E78" s="12" t="str">
        <x:v>管理销售费用</x:v>
      </x:c>
      <x:c r="F78" s="13" t="n">
        <x:v>0</x:v>
      </x:c>
      <x:c r="G78" s="13" t="n">
        <x:v>320000</x:v>
      </x:c>
      <x:c r="H78" s="13" t="n">
        <x:v>10381213</x:v>
      </x:c>
      <x:c r="I78" s="12" t="str">
        <x:v>CNY</x:v>
      </x:c>
      <x:c r="J78" s="12" t="str">
        <x:v>SYNTHETIC</x:v>
      </x:c>
    </x:row>
    <x:row r="79" ht="38" customHeight="1">
      <x:c r="A79" s="12" t="str">
        <x:v>KS-INJECTION-1000-B0075</x:v>
      </x:c>
      <x:c r="B79" s="14" t="n">
        <x:v>45132</x:v>
      </x:c>
      <x:c r="C79" s="12" t="str">
        <x:v>KS-INJECTION-1000-INT-202307</x:v>
      </x:c>
      <x:c r="D79" s="12" t="str">
        <x:v>模拟融资机构</x:v>
      </x:c>
      <x:c r="E79" s="12" t="str">
        <x:v>利息</x:v>
      </x:c>
      <x:c r="F79" s="13" t="n">
        <x:v>0</x:v>
      </x:c>
      <x:c r="G79" s="13" t="n">
        <x:v>25000</x:v>
      </x:c>
      <x:c r="H79" s="13" t="n">
        <x:v>10356213</x:v>
      </x:c>
      <x:c r="I79" s="12" t="str">
        <x:v>CNY</x:v>
      </x:c>
      <x:c r="J79" s="12" t="str">
        <x:v>SYNTHETIC</x:v>
      </x:c>
    </x:row>
    <x:row r="80" ht="38" customHeight="1">
      <x:c r="A80" s="12" t="str">
        <x:v>KS-INJECTION-1000-B0076</x:v>
      </x:c>
      <x:c r="B80" s="14" t="n">
        <x:v>45132</x:v>
      </x:c>
      <x:c r="C80" s="12" t="str">
        <x:v>KS-INJECTION-1000-VAT-202307</x:v>
      </x:c>
      <x:c r="D80" s="12" t="str">
        <x:v>模拟税费账户</x:v>
      </x:c>
      <x:c r="E80" s="12" t="str">
        <x:v>增值税</x:v>
      </x:c>
      <x:c r="F80" s="13" t="n">
        <x:v>0</x:v>
      </x:c>
      <x:c r="G80" s="13" t="n">
        <x:v>336118</x:v>
      </x:c>
      <x:c r="H80" s="13" t="n">
        <x:v>10020095</x:v>
      </x:c>
      <x:c r="I80" s="12" t="str">
        <x:v>CNY</x:v>
      </x:c>
      <x:c r="J80" s="12" t="str">
        <x:v>SYNTHETIC</x:v>
      </x:c>
    </x:row>
    <x:row r="81" ht="38" customHeight="1">
      <x:c r="A81" s="12" t="str">
        <x:v>KS-INJECTION-1000-B0077</x:v>
      </x:c>
      <x:c r="B81" s="14" t="n">
        <x:v>45132</x:v>
      </x:c>
      <x:c r="C81" s="12" t="str">
        <x:v>KS-INJECTION-1000-CIT-202307</x:v>
      </x:c>
      <x:c r="D81" s="12" t="str">
        <x:v>模拟税费账户</x:v>
      </x:c>
      <x:c r="E81" s="12" t="str">
        <x:v>所得税</x:v>
      </x:c>
      <x:c r="F81" s="13" t="n">
        <x:v>0</x:v>
      </x:c>
      <x:c r="G81" s="13" t="n">
        <x:v>314930</x:v>
      </x:c>
      <x:c r="H81" s="13" t="n">
        <x:v>9705165</x:v>
      </x:c>
      <x:c r="I81" s="12" t="str">
        <x:v>CNY</x:v>
      </x:c>
      <x:c r="J81" s="12" t="str">
        <x:v>SYNTHETIC</x:v>
      </x:c>
    </x:row>
    <x:row r="82" ht="38" customHeight="1">
      <x:c r="A82" s="12" t="str">
        <x:v>KS-INJECTION-1000-B0078</x:v>
      </x:c>
      <x:c r="B82" s="14" t="n">
        <x:v>45150</x:v>
      </x:c>
      <x:c r="C82" s="12" t="str">
        <x:v>KS-INJECTION-1000-S-202308-1</x:v>
      </x:c>
      <x:c r="D82" s="12" t="str">
        <x:v>模拟下游1</x:v>
      </x:c>
      <x:c r="E82" s="12" t="str">
        <x:v>销售回款</x:v>
      </x:c>
      <x:c r="F82" s="13" t="n">
        <x:v>1742731</x:v>
      </x:c>
      <x:c r="G82" s="13" t="n">
        <x:v>0</x:v>
      </x:c>
      <x:c r="H82" s="13" t="n">
        <x:v>11447896</x:v>
      </x:c>
      <x:c r="I82" s="12" t="str">
        <x:v>CNY</x:v>
      </x:c>
      <x:c r="J82" s="12" t="str">
        <x:v>SYNTHETIC</x:v>
      </x:c>
    </x:row>
    <x:row r="83" ht="38" customHeight="1">
      <x:c r="A83" s="12" t="str">
        <x:v>KS-INJECTION-1000-B0079</x:v>
      </x:c>
      <x:c r="B83" s="14" t="n">
        <x:v>45151</x:v>
      </x:c>
      <x:c r="C83" s="12" t="str">
        <x:v>KS-INJECTION-1000-S-202308-2</x:v>
      </x:c>
      <x:c r="D83" s="12" t="str">
        <x:v>模拟下游2</x:v>
      </x:c>
      <x:c r="E83" s="12" t="str">
        <x:v>销售回款</x:v>
      </x:c>
      <x:c r="F83" s="13" t="n">
        <x:v>1691474</x:v>
      </x:c>
      <x:c r="G83" s="13" t="n">
        <x:v>0</x:v>
      </x:c>
      <x:c r="H83" s="13" t="n">
        <x:v>13139370</x:v>
      </x:c>
      <x:c r="I83" s="12" t="str">
        <x:v>CNY</x:v>
      </x:c>
      <x:c r="J83" s="12" t="str">
        <x:v>SYNTHETIC</x:v>
      </x:c>
    </x:row>
    <x:row r="84" ht="38" customHeight="1">
      <x:c r="A84" s="12" t="str">
        <x:v>KS-INJECTION-1000-B0080</x:v>
      </x:c>
      <x:c r="B84" s="14" t="n">
        <x:v>45152</x:v>
      </x:c>
      <x:c r="C84" s="12" t="str">
        <x:v>KS-INJECTION-1000-S-202308-3</x:v>
      </x:c>
      <x:c r="D84" s="12" t="str">
        <x:v>模拟下游3</x:v>
      </x:c>
      <x:c r="E84" s="12" t="str">
        <x:v>销售回款</x:v>
      </x:c>
      <x:c r="F84" s="13" t="n">
        <x:v>1691475</x:v>
      </x:c>
      <x:c r="G84" s="13" t="n">
        <x:v>0</x:v>
      </x:c>
      <x:c r="H84" s="13" t="n">
        <x:v>14830845</x:v>
      </x:c>
      <x:c r="I84" s="12" t="str">
        <x:v>CNY</x:v>
      </x:c>
      <x:c r="J84" s="12" t="str">
        <x:v>SYNTHETIC</x:v>
      </x:c>
    </x:row>
    <x:row r="85" ht="38" customHeight="1">
      <x:c r="A85" s="12" t="str">
        <x:v>KS-INJECTION-1000-B0081</x:v>
      </x:c>
      <x:c r="B85" s="14" t="n">
        <x:v>45154</x:v>
      </x:c>
      <x:c r="C85" s="12" t="str">
        <x:v>KS-INJECTION-1000-P-202308-1</x:v>
      </x:c>
      <x:c r="D85" s="12" t="str">
        <x:v>模拟原料商1</x:v>
      </x:c>
      <x:c r="E85" s="12" t="str">
        <x:v>原料付款</x:v>
      </x:c>
      <x:c r="F85" s="13" t="n">
        <x:v>0</x:v>
      </x:c>
      <x:c r="G85" s="13" t="n">
        <x:v>1322425</x:v>
      </x:c>
      <x:c r="H85" s="13" t="n">
        <x:v>13508420</x:v>
      </x:c>
      <x:c r="I85" s="12" t="str">
        <x:v>CNY</x:v>
      </x:c>
      <x:c r="J85" s="12" t="str">
        <x:v>SYNTHETIC</x:v>
      </x:c>
    </x:row>
    <x:row r="86" ht="38" customHeight="1">
      <x:c r="A86" s="12" t="str">
        <x:v>KS-INJECTION-1000-B0082</x:v>
      </x:c>
      <x:c r="B86" s="14" t="n">
        <x:v>45155</x:v>
      </x:c>
      <x:c r="C86" s="12" t="str">
        <x:v>KS-INJECTION-1000-P-202308-2</x:v>
      </x:c>
      <x:c r="D86" s="12" t="str">
        <x:v>模拟原料商2</x:v>
      </x:c>
      <x:c r="E86" s="12" t="str">
        <x:v>原料付款</x:v>
      </x:c>
      <x:c r="F86" s="13" t="n">
        <x:v>0</x:v>
      </x:c>
      <x:c r="G86" s="13" t="n">
        <x:v>881617</x:v>
      </x:c>
      <x:c r="H86" s="13" t="n">
        <x:v>12626803</x:v>
      </x:c>
      <x:c r="I86" s="12" t="str">
        <x:v>CNY</x:v>
      </x:c>
      <x:c r="J86" s="12" t="str">
        <x:v>SYNTHETIC</x:v>
      </x:c>
    </x:row>
    <x:row r="87" ht="38" customHeight="1">
      <x:c r="A87" s="12" t="str">
        <x:v>KS-INJECTION-1000-B0083</x:v>
      </x:c>
      <x:c r="B87" s="14" t="n">
        <x:v>45163</x:v>
      </x:c>
      <x:c r="C87" s="12" t="str">
        <x:v>KS-INJECTION-1000-PAY-202308</x:v>
      </x:c>
      <x:c r="D87" s="12" t="str">
        <x:v>模拟工资代发</x:v>
      </x:c>
      <x:c r="E87" s="12" t="str">
        <x:v>工资</x:v>
      </x:c>
      <x:c r="F87" s="13" t="n">
        <x:v>0</x:v>
      </x:c>
      <x:c r="G87" s="13" t="n">
        <x:v>520000</x:v>
      </x:c>
      <x:c r="H87" s="13" t="n">
        <x:v>12106803</x:v>
      </x:c>
      <x:c r="I87" s="12" t="str">
        <x:v>CNY</x:v>
      </x:c>
      <x:c r="J87" s="12" t="str">
        <x:v>SYNTHETIC</x:v>
      </x:c>
    </x:row>
    <x:row r="88" ht="38" customHeight="1">
      <x:c r="A88" s="12" t="str">
        <x:v>KS-INJECTION-1000-B0084</x:v>
      </x:c>
      <x:c r="B88" s="14" t="n">
        <x:v>45163</x:v>
      </x:c>
      <x:c r="C88" s="12" t="str">
        <x:v>KS-INJECTION-1000-ELEC-202308</x:v>
      </x:c>
      <x:c r="D88" s="12" t="str">
        <x:v>模拟供电结算</x:v>
      </x:c>
      <x:c r="E88" s="12" t="str">
        <x:v>电费</x:v>
      </x:c>
      <x:c r="F88" s="13" t="n">
        <x:v>0</x:v>
      </x:c>
      <x:c r="G88" s="13" t="n">
        <x:v>280800</x:v>
      </x:c>
      <x:c r="H88" s="13" t="n">
        <x:v>11826003</x:v>
      </x:c>
      <x:c r="I88" s="12" t="str">
        <x:v>CNY</x:v>
      </x:c>
      <x:c r="J88" s="12" t="str">
        <x:v>SYNTHETIC</x:v>
      </x:c>
    </x:row>
    <x:row r="89" ht="38" customHeight="1">
      <x:c r="A89" s="12" t="str">
        <x:v>KS-INJECTION-1000-B0085</x:v>
      </x:c>
      <x:c r="B89" s="14" t="n">
        <x:v>45163</x:v>
      </x:c>
      <x:c r="C89" s="12" t="str">
        <x:v>KS-INJECTION-1000-OPEX-202308</x:v>
      </x:c>
      <x:c r="D89" s="12" t="str">
        <x:v>模拟费用结算</x:v>
      </x:c>
      <x:c r="E89" s="12" t="str">
        <x:v>管理销售费用</x:v>
      </x:c>
      <x:c r="F89" s="13" t="n">
        <x:v>0</x:v>
      </x:c>
      <x:c r="G89" s="13" t="n">
        <x:v>320000</x:v>
      </x:c>
      <x:c r="H89" s="13" t="n">
        <x:v>11506003</x:v>
      </x:c>
      <x:c r="I89" s="12" t="str">
        <x:v>CNY</x:v>
      </x:c>
      <x:c r="J89" s="12" t="str">
        <x:v>SYNTHETIC</x:v>
      </x:c>
    </x:row>
    <x:row r="90" ht="38" customHeight="1">
      <x:c r="A90" s="12" t="str">
        <x:v>KS-INJECTION-1000-B0086</x:v>
      </x:c>
      <x:c r="B90" s="14" t="n">
        <x:v>45163</x:v>
      </x:c>
      <x:c r="C90" s="12" t="str">
        <x:v>KS-INJECTION-1000-INT-202308</x:v>
      </x:c>
      <x:c r="D90" s="12" t="str">
        <x:v>模拟融资机构</x:v>
      </x:c>
      <x:c r="E90" s="12" t="str">
        <x:v>利息</x:v>
      </x:c>
      <x:c r="F90" s="13" t="n">
        <x:v>0</x:v>
      </x:c>
      <x:c r="G90" s="13" t="n">
        <x:v>25000</x:v>
      </x:c>
      <x:c r="H90" s="13" t="n">
        <x:v>11481003</x:v>
      </x:c>
      <x:c r="I90" s="12" t="str">
        <x:v>CNY</x:v>
      </x:c>
      <x:c r="J90" s="12" t="str">
        <x:v>SYNTHETIC</x:v>
      </x:c>
    </x:row>
    <x:row r="91" ht="38" customHeight="1">
      <x:c r="A91" s="12" t="str">
        <x:v>KS-INJECTION-1000-B0087</x:v>
      </x:c>
      <x:c r="B91" s="14" t="n">
        <x:v>45163</x:v>
      </x:c>
      <x:c r="C91" s="12" t="str">
        <x:v>KS-INJECTION-1000-VAT-202308</x:v>
      </x:c>
      <x:c r="D91" s="12" t="str">
        <x:v>模拟税费账户</x:v>
      </x:c>
      <x:c r="E91" s="12" t="str">
        <x:v>增值税</x:v>
      </x:c>
      <x:c r="F91" s="13" t="n">
        <x:v>0</x:v>
      </x:c>
      <x:c r="G91" s="13" t="n">
        <x:v>336118</x:v>
      </x:c>
      <x:c r="H91" s="13" t="n">
        <x:v>11144885</x:v>
      </x:c>
      <x:c r="I91" s="12" t="str">
        <x:v>CNY</x:v>
      </x:c>
      <x:c r="J91" s="12" t="str">
        <x:v>SYNTHETIC</x:v>
      </x:c>
    </x:row>
    <x:row r="92" ht="38" customHeight="1">
      <x:c r="A92" s="12" t="str">
        <x:v>KS-INJECTION-1000-B0088</x:v>
      </x:c>
      <x:c r="B92" s="14" t="n">
        <x:v>45163</x:v>
      </x:c>
      <x:c r="C92" s="12" t="str">
        <x:v>KS-INJECTION-1000-CIT-202308</x:v>
      </x:c>
      <x:c r="D92" s="12" t="str">
        <x:v>模拟税费账户</x:v>
      </x:c>
      <x:c r="E92" s="12" t="str">
        <x:v>所得税</x:v>
      </x:c>
      <x:c r="F92" s="13" t="n">
        <x:v>0</x:v>
      </x:c>
      <x:c r="G92" s="13" t="n">
        <x:v>314930</x:v>
      </x:c>
      <x:c r="H92" s="13" t="n">
        <x:v>10829955</x:v>
      </x:c>
      <x:c r="I92" s="12" t="str">
        <x:v>CNY</x:v>
      </x:c>
      <x:c r="J92" s="12" t="str">
        <x:v>SYNTHETIC</x:v>
      </x:c>
    </x:row>
    <x:row r="93" ht="38" customHeight="1">
      <x:c r="A93" s="12" t="str">
        <x:v>KS-INJECTION-1000-B0089</x:v>
      </x:c>
      <x:c r="B93" s="14" t="n">
        <x:v>45181</x:v>
      </x:c>
      <x:c r="C93" s="12" t="str">
        <x:v>KS-INJECTION-1000-S-202309-1</x:v>
      </x:c>
      <x:c r="D93" s="12" t="str">
        <x:v>模拟下游1</x:v>
      </x:c>
      <x:c r="E93" s="12" t="str">
        <x:v>销售回款</x:v>
      </x:c>
      <x:c r="F93" s="13" t="n">
        <x:v>1678186</x:v>
      </x:c>
      <x:c r="G93" s="13" t="n">
        <x:v>0</x:v>
      </x:c>
      <x:c r="H93" s="13" t="n">
        <x:v>12508141</x:v>
      </x:c>
      <x:c r="I93" s="12" t="str">
        <x:v>CNY</x:v>
      </x:c>
      <x:c r="J93" s="12" t="str">
        <x:v>SYNTHETIC</x:v>
      </x:c>
    </x:row>
    <x:row r="94" ht="38" customHeight="1">
      <x:c r="A94" s="12" t="str">
        <x:v>KS-INJECTION-1000-B0090</x:v>
      </x:c>
      <x:c r="B94" s="14" t="n">
        <x:v>45182</x:v>
      </x:c>
      <x:c r="C94" s="12" t="str">
        <x:v>KS-INJECTION-1000-S-202309-2</x:v>
      </x:c>
      <x:c r="D94" s="12" t="str">
        <x:v>模拟下游2</x:v>
      </x:c>
      <x:c r="E94" s="12" t="str">
        <x:v>销售回款</x:v>
      </x:c>
      <x:c r="F94" s="13" t="n">
        <x:v>1628827</x:v>
      </x:c>
      <x:c r="G94" s="13" t="n">
        <x:v>0</x:v>
      </x:c>
      <x:c r="H94" s="13" t="n">
        <x:v>14136968</x:v>
      </x:c>
      <x:c r="I94" s="12" t="str">
        <x:v>CNY</x:v>
      </x:c>
      <x:c r="J94" s="12" t="str">
        <x:v>SYNTHETIC</x:v>
      </x:c>
    </x:row>
    <x:row r="95" ht="38" customHeight="1">
      <x:c r="A95" s="12" t="str">
        <x:v>KS-INJECTION-1000-B0091</x:v>
      </x:c>
      <x:c r="B95" s="14" t="n">
        <x:v>45183</x:v>
      </x:c>
      <x:c r="C95" s="12" t="str">
        <x:v>KS-INJECTION-1000-S-202309-3</x:v>
      </x:c>
      <x:c r="D95" s="12" t="str">
        <x:v>模拟下游3</x:v>
      </x:c>
      <x:c r="E95" s="12" t="str">
        <x:v>销售回款</x:v>
      </x:c>
      <x:c r="F95" s="13" t="n">
        <x:v>1628827</x:v>
      </x:c>
      <x:c r="G95" s="13" t="n">
        <x:v>0</x:v>
      </x:c>
      <x:c r="H95" s="13" t="n">
        <x:v>15765795</x:v>
      </x:c>
      <x:c r="I95" s="12" t="str">
        <x:v>CNY</x:v>
      </x:c>
      <x:c r="J95" s="12" t="str">
        <x:v>SYNTHETIC</x:v>
      </x:c>
    </x:row>
    <x:row r="96" ht="38" customHeight="1">
      <x:c r="A96" s="12" t="str">
        <x:v>KS-INJECTION-1000-B0092</x:v>
      </x:c>
      <x:c r="B96" s="14" t="n">
        <x:v>45185</x:v>
      </x:c>
      <x:c r="C96" s="12" t="str">
        <x:v>KS-INJECTION-1000-P-202309-1</x:v>
      </x:c>
      <x:c r="D96" s="12" t="str">
        <x:v>模拟原料商1</x:v>
      </x:c>
      <x:c r="E96" s="12" t="str">
        <x:v>原料付款</x:v>
      </x:c>
      <x:c r="F96" s="13" t="n">
        <x:v>0</x:v>
      </x:c>
      <x:c r="G96" s="13" t="n">
        <x:v>1273447</x:v>
      </x:c>
      <x:c r="H96" s="13" t="n">
        <x:v>14492348</x:v>
      </x:c>
      <x:c r="I96" s="12" t="str">
        <x:v>CNY</x:v>
      </x:c>
      <x:c r="J96" s="12" t="str">
        <x:v>SYNTHETIC</x:v>
      </x:c>
    </x:row>
    <x:row r="97" ht="38" customHeight="1">
      <x:c r="A97" s="12" t="str">
        <x:v>KS-INJECTION-1000-B0093</x:v>
      </x:c>
      <x:c r="B97" s="14" t="n">
        <x:v>45186</x:v>
      </x:c>
      <x:c r="C97" s="12" t="str">
        <x:v>KS-INJECTION-1000-P-202309-2</x:v>
      </x:c>
      <x:c r="D97" s="12" t="str">
        <x:v>模拟原料商2</x:v>
      </x:c>
      <x:c r="E97" s="12" t="str">
        <x:v>原料付款</x:v>
      </x:c>
      <x:c r="F97" s="13" t="n">
        <x:v>0</x:v>
      </x:c>
      <x:c r="G97" s="13" t="n">
        <x:v>848964</x:v>
      </x:c>
      <x:c r="H97" s="13" t="n">
        <x:v>13643384</x:v>
      </x:c>
      <x:c r="I97" s="12" t="str">
        <x:v>CNY</x:v>
      </x:c>
      <x:c r="J97" s="12" t="str">
        <x:v>SYNTHETIC</x:v>
      </x:c>
    </x:row>
    <x:row r="98" ht="38" customHeight="1">
      <x:c r="A98" s="12" t="str">
        <x:v>KS-INJECTION-1000-B0094</x:v>
      </x:c>
      <x:c r="B98" s="14" t="n">
        <x:v>45194</x:v>
      </x:c>
      <x:c r="C98" s="12" t="str">
        <x:v>KS-INJECTION-1000-PAY-202309</x:v>
      </x:c>
      <x:c r="D98" s="12" t="str">
        <x:v>模拟工资代发</x:v>
      </x:c>
      <x:c r="E98" s="12" t="str">
        <x:v>工资</x:v>
      </x:c>
      <x:c r="F98" s="13" t="n">
        <x:v>0</x:v>
      </x:c>
      <x:c r="G98" s="13" t="n">
        <x:v>520000</x:v>
      </x:c>
      <x:c r="H98" s="13" t="n">
        <x:v>13123384</x:v>
      </x:c>
      <x:c r="I98" s="12" t="str">
        <x:v>CNY</x:v>
      </x:c>
      <x:c r="J98" s="12" t="str">
        <x:v>SYNTHETIC</x:v>
      </x:c>
    </x:row>
    <x:row r="99" ht="38" customHeight="1">
      <x:c r="A99" s="12" t="str">
        <x:v>KS-INJECTION-1000-B0095</x:v>
      </x:c>
      <x:c r="B99" s="14" t="n">
        <x:v>45194</x:v>
      </x:c>
      <x:c r="C99" s="12" t="str">
        <x:v>KS-INJECTION-1000-ELEC-202309</x:v>
      </x:c>
      <x:c r="D99" s="12" t="str">
        <x:v>模拟供电结算</x:v>
      </x:c>
      <x:c r="E99" s="12" t="str">
        <x:v>电费</x:v>
      </x:c>
      <x:c r="F99" s="13" t="n">
        <x:v>0</x:v>
      </x:c>
      <x:c r="G99" s="13" t="n">
        <x:v>270400</x:v>
      </x:c>
      <x:c r="H99" s="13" t="n">
        <x:v>12852984</x:v>
      </x:c>
      <x:c r="I99" s="12" t="str">
        <x:v>CNY</x:v>
      </x:c>
      <x:c r="J99" s="12" t="str">
        <x:v>SYNTHETIC</x:v>
      </x:c>
    </x:row>
    <x:row r="100" ht="38" customHeight="1">
      <x:c r="A100" s="12" t="str">
        <x:v>KS-INJECTION-1000-B0096</x:v>
      </x:c>
      <x:c r="B100" s="14" t="n">
        <x:v>45194</x:v>
      </x:c>
      <x:c r="C100" s="12" t="str">
        <x:v>KS-INJECTION-1000-OPEX-202309</x:v>
      </x:c>
      <x:c r="D100" s="12" t="str">
        <x:v>模拟费用结算</x:v>
      </x:c>
      <x:c r="E100" s="12" t="str">
        <x:v>管理销售费用</x:v>
      </x:c>
      <x:c r="F100" s="13" t="n">
        <x:v>0</x:v>
      </x:c>
      <x:c r="G100" s="13" t="n">
        <x:v>320000</x:v>
      </x:c>
      <x:c r="H100" s="13" t="n">
        <x:v>12532984</x:v>
      </x:c>
      <x:c r="I100" s="12" t="str">
        <x:v>CNY</x:v>
      </x:c>
      <x:c r="J100" s="12" t="str">
        <x:v>SYNTHETIC</x:v>
      </x:c>
    </x:row>
    <x:row r="101" ht="38" customHeight="1">
      <x:c r="A101" s="12" t="str">
        <x:v>KS-INJECTION-1000-B0097</x:v>
      </x:c>
      <x:c r="B101" s="14" t="n">
        <x:v>45194</x:v>
      </x:c>
      <x:c r="C101" s="12" t="str">
        <x:v>KS-INJECTION-1000-INT-202309</x:v>
      </x:c>
      <x:c r="D101" s="12" t="str">
        <x:v>模拟融资机构</x:v>
      </x:c>
      <x:c r="E101" s="12" t="str">
        <x:v>利息</x:v>
      </x:c>
      <x:c r="F101" s="13" t="n">
        <x:v>0</x:v>
      </x:c>
      <x:c r="G101" s="13" t="n">
        <x:v>25000</x:v>
      </x:c>
      <x:c r="H101" s="13" t="n">
        <x:v>12507984</x:v>
      </x:c>
      <x:c r="I101" s="12" t="str">
        <x:v>CNY</x:v>
      </x:c>
      <x:c r="J101" s="12" t="str">
        <x:v>SYNTHETIC</x:v>
      </x:c>
    </x:row>
    <x:row r="102" ht="38" customHeight="1">
      <x:c r="A102" s="12" t="str">
        <x:v>KS-INJECTION-1000-B0098</x:v>
      </x:c>
      <x:c r="B102" s="14" t="n">
        <x:v>45194</x:v>
      </x:c>
      <x:c r="C102" s="12" t="str">
        <x:v>KS-INJECTION-1000-VAT-202309</x:v>
      </x:c>
      <x:c r="D102" s="12" t="str">
        <x:v>模拟税费账户</x:v>
      </x:c>
      <x:c r="E102" s="12" t="str">
        <x:v>增值税</x:v>
      </x:c>
      <x:c r="F102" s="13" t="n">
        <x:v>0</x:v>
      </x:c>
      <x:c r="G102" s="13" t="n">
        <x:v>323669</x:v>
      </x:c>
      <x:c r="H102" s="13" t="n">
        <x:v>12184315</x:v>
      </x:c>
      <x:c r="I102" s="12" t="str">
        <x:v>CNY</x:v>
      </x:c>
      <x:c r="J102" s="12" t="str">
        <x:v>SYNTHETIC</x:v>
      </x:c>
    </x:row>
    <x:row r="103" ht="38" customHeight="1">
      <x:c r="A103" s="12" t="str">
        <x:v>KS-INJECTION-1000-B0099</x:v>
      </x:c>
      <x:c r="B103" s="14" t="n">
        <x:v>45194</x:v>
      </x:c>
      <x:c r="C103" s="12" t="str">
        <x:v>KS-INJECTION-1000-CIT-202309</x:v>
      </x:c>
      <x:c r="D103" s="12" t="str">
        <x:v>模拟税费账户</x:v>
      </x:c>
      <x:c r="E103" s="12" t="str">
        <x:v>所得税</x:v>
      </x:c>
      <x:c r="F103" s="13" t="n">
        <x:v>0</x:v>
      </x:c>
      <x:c r="G103" s="13" t="n">
        <x:v>293590</x:v>
      </x:c>
      <x:c r="H103" s="13" t="n">
        <x:v>11890725</x:v>
      </x:c>
      <x:c r="I103" s="12" t="str">
        <x:v>CNY</x:v>
      </x:c>
      <x:c r="J103" s="12" t="str">
        <x:v>SYNTHETIC</x:v>
      </x:c>
    </x:row>
    <x:row r="104" ht="38" customHeight="1">
      <x:c r="A104" s="12" t="str">
        <x:v>KS-INJECTION-1000-B0100</x:v>
      </x:c>
      <x:c r="B104" s="14" t="n">
        <x:v>45211</x:v>
      </x:c>
      <x:c r="C104" s="12" t="str">
        <x:v>KS-INJECTION-1000-S-202310-1</x:v>
      </x:c>
      <x:c r="D104" s="12" t="str">
        <x:v>模拟下游1</x:v>
      </x:c>
      <x:c r="E104" s="12" t="str">
        <x:v>销售回款</x:v>
      </x:c>
      <x:c r="F104" s="13" t="n">
        <x:v>1645913</x:v>
      </x:c>
      <x:c r="G104" s="13" t="n">
        <x:v>0</x:v>
      </x:c>
      <x:c r="H104" s="13" t="n">
        <x:v>13536638</x:v>
      </x:c>
      <x:c r="I104" s="12" t="str">
        <x:v>CNY</x:v>
      </x:c>
      <x:c r="J104" s="12" t="str">
        <x:v>SYNTHETIC</x:v>
      </x:c>
    </x:row>
    <x:row r="105" ht="38" customHeight="1">
      <x:c r="A105" s="12" t="str">
        <x:v>KS-INJECTION-1000-B0101</x:v>
      </x:c>
      <x:c r="B105" s="14" t="n">
        <x:v>45212</x:v>
      </x:c>
      <x:c r="C105" s="12" t="str">
        <x:v>KS-INJECTION-1000-S-202310-2</x:v>
      </x:c>
      <x:c r="D105" s="12" t="str">
        <x:v>模拟下游2</x:v>
      </x:c>
      <x:c r="E105" s="12" t="str">
        <x:v>销售回款</x:v>
      </x:c>
      <x:c r="F105" s="13" t="n">
        <x:v>1597504</x:v>
      </x:c>
      <x:c r="G105" s="13" t="n">
        <x:v>0</x:v>
      </x:c>
      <x:c r="H105" s="13" t="n">
        <x:v>15134142</x:v>
      </x:c>
      <x:c r="I105" s="12" t="str">
        <x:v>CNY</x:v>
      </x:c>
      <x:c r="J105" s="12" t="str">
        <x:v>SYNTHETIC</x:v>
      </x:c>
    </x:row>
    <x:row r="106" ht="38" customHeight="1">
      <x:c r="A106" s="12" t="str">
        <x:v>KS-INJECTION-1000-B0102</x:v>
      </x:c>
      <x:c r="B106" s="14" t="n">
        <x:v>45213</x:v>
      </x:c>
      <x:c r="C106" s="12" t="str">
        <x:v>KS-INJECTION-1000-S-202310-3</x:v>
      </x:c>
      <x:c r="D106" s="12" t="str">
        <x:v>模拟下游3</x:v>
      </x:c>
      <x:c r="E106" s="12" t="str">
        <x:v>销售回款</x:v>
      </x:c>
      <x:c r="F106" s="13" t="n">
        <x:v>1597503</x:v>
      </x:c>
      <x:c r="G106" s="13" t="n">
        <x:v>0</x:v>
      </x:c>
      <x:c r="H106" s="13" t="n">
        <x:v>16731645</x:v>
      </x:c>
      <x:c r="I106" s="12" t="str">
        <x:v>CNY</x:v>
      </x:c>
      <x:c r="J106" s="12" t="str">
        <x:v>SYNTHETIC</x:v>
      </x:c>
    </x:row>
    <x:row r="107" ht="38" customHeight="1">
      <x:c r="A107" s="12" t="str">
        <x:v>KS-INJECTION-1000-B0103</x:v>
      </x:c>
      <x:c r="B107" s="14" t="n">
        <x:v>45215</x:v>
      </x:c>
      <x:c r="C107" s="12" t="str">
        <x:v>KS-INJECTION-1000-P-202310-1</x:v>
      </x:c>
      <x:c r="D107" s="12" t="str">
        <x:v>模拟原料商1</x:v>
      </x:c>
      <x:c r="E107" s="12" t="str">
        <x:v>原料付款</x:v>
      </x:c>
      <x:c r="F107" s="13" t="n">
        <x:v>0</x:v>
      </x:c>
      <x:c r="G107" s="13" t="n">
        <x:v>1248958</x:v>
      </x:c>
      <x:c r="H107" s="13" t="n">
        <x:v>15482687</x:v>
      </x:c>
      <x:c r="I107" s="12" t="str">
        <x:v>CNY</x:v>
      </x:c>
      <x:c r="J107" s="12" t="str">
        <x:v>SYNTHETIC</x:v>
      </x:c>
    </x:row>
    <x:row r="108" ht="38" customHeight="1">
      <x:c r="A108" s="12" t="str">
        <x:v>KS-INJECTION-1000-B0104</x:v>
      </x:c>
      <x:c r="B108" s="14" t="n">
        <x:v>45216</x:v>
      </x:c>
      <x:c r="C108" s="12" t="str">
        <x:v>KS-INJECTION-1000-P-202310-2</x:v>
      </x:c>
      <x:c r="D108" s="12" t="str">
        <x:v>模拟原料商2</x:v>
      </x:c>
      <x:c r="E108" s="12" t="str">
        <x:v>原料付款</x:v>
      </x:c>
      <x:c r="F108" s="13" t="n">
        <x:v>0</x:v>
      </x:c>
      <x:c r="G108" s="13" t="n">
        <x:v>832638</x:v>
      </x:c>
      <x:c r="H108" s="13" t="n">
        <x:v>14650049</x:v>
      </x:c>
      <x:c r="I108" s="12" t="str">
        <x:v>CNY</x:v>
      </x:c>
      <x:c r="J108" s="12" t="str">
        <x:v>SYNTHETIC</x:v>
      </x:c>
    </x:row>
    <x:row r="109" ht="38" customHeight="1">
      <x:c r="A109" s="12" t="str">
        <x:v>KS-INJECTION-1000-B0105</x:v>
      </x:c>
      <x:c r="B109" s="14" t="n">
        <x:v>45224</x:v>
      </x:c>
      <x:c r="C109" s="12" t="str">
        <x:v>KS-INJECTION-1000-PAY-202310</x:v>
      </x:c>
      <x:c r="D109" s="12" t="str">
        <x:v>模拟工资代发</x:v>
      </x:c>
      <x:c r="E109" s="12" t="str">
        <x:v>工资</x:v>
      </x:c>
      <x:c r="F109" s="13" t="n">
        <x:v>0</x:v>
      </x:c>
      <x:c r="G109" s="13" t="n">
        <x:v>520000</x:v>
      </x:c>
      <x:c r="H109" s="13" t="n">
        <x:v>14130049</x:v>
      </x:c>
      <x:c r="I109" s="12" t="str">
        <x:v>CNY</x:v>
      </x:c>
      <x:c r="J109" s="12" t="str">
        <x:v>SYNTHETIC</x:v>
      </x:c>
    </x:row>
    <x:row r="110" ht="38" customHeight="1">
      <x:c r="A110" s="12" t="str">
        <x:v>KS-INJECTION-1000-B0106</x:v>
      </x:c>
      <x:c r="B110" s="14" t="n">
        <x:v>45224</x:v>
      </x:c>
      <x:c r="C110" s="12" t="str">
        <x:v>KS-INJECTION-1000-ELEC-202310</x:v>
      </x:c>
      <x:c r="D110" s="12" t="str">
        <x:v>模拟供电结算</x:v>
      </x:c>
      <x:c r="E110" s="12" t="str">
        <x:v>电费</x:v>
      </x:c>
      <x:c r="F110" s="13" t="n">
        <x:v>0</x:v>
      </x:c>
      <x:c r="G110" s="13" t="n">
        <x:v>265200</x:v>
      </x:c>
      <x:c r="H110" s="13" t="n">
        <x:v>13864849</x:v>
      </x:c>
      <x:c r="I110" s="12" t="str">
        <x:v>CNY</x:v>
      </x:c>
      <x:c r="J110" s="12" t="str">
        <x:v>SYNTHETIC</x:v>
      </x:c>
    </x:row>
    <x:row r="111" ht="38" customHeight="1">
      <x:c r="A111" s="12" t="str">
        <x:v>KS-INJECTION-1000-B0107</x:v>
      </x:c>
      <x:c r="B111" s="14" t="n">
        <x:v>45224</x:v>
      </x:c>
      <x:c r="C111" s="12" t="str">
        <x:v>KS-INJECTION-1000-OPEX-202310</x:v>
      </x:c>
      <x:c r="D111" s="12" t="str">
        <x:v>模拟费用结算</x:v>
      </x:c>
      <x:c r="E111" s="12" t="str">
        <x:v>管理销售费用</x:v>
      </x:c>
      <x:c r="F111" s="13" t="n">
        <x:v>0</x:v>
      </x:c>
      <x:c r="G111" s="13" t="n">
        <x:v>320000</x:v>
      </x:c>
      <x:c r="H111" s="13" t="n">
        <x:v>13544849</x:v>
      </x:c>
      <x:c r="I111" s="12" t="str">
        <x:v>CNY</x:v>
      </x:c>
      <x:c r="J111" s="12" t="str">
        <x:v>SYNTHETIC</x:v>
      </x:c>
    </x:row>
    <x:row r="112" ht="38" customHeight="1">
      <x:c r="A112" s="12" t="str">
        <x:v>KS-INJECTION-1000-B0108</x:v>
      </x:c>
      <x:c r="B112" s="14" t="n">
        <x:v>45224</x:v>
      </x:c>
      <x:c r="C112" s="12" t="str">
        <x:v>KS-INJECTION-1000-INT-202310</x:v>
      </x:c>
      <x:c r="D112" s="12" t="str">
        <x:v>模拟融资机构</x:v>
      </x:c>
      <x:c r="E112" s="12" t="str">
        <x:v>利息</x:v>
      </x:c>
      <x:c r="F112" s="13" t="n">
        <x:v>0</x:v>
      </x:c>
      <x:c r="G112" s="13" t="n">
        <x:v>25000</x:v>
      </x:c>
      <x:c r="H112" s="13" t="n">
        <x:v>13519849</x:v>
      </x:c>
      <x:c r="I112" s="12" t="str">
        <x:v>CNY</x:v>
      </x:c>
      <x:c r="J112" s="12" t="str">
        <x:v>SYNTHETIC</x:v>
      </x:c>
    </x:row>
    <x:row r="113" ht="38" customHeight="1">
      <x:c r="A113" s="12" t="str">
        <x:v>KS-INJECTION-1000-B0109</x:v>
      </x:c>
      <x:c r="B113" s="14" t="n">
        <x:v>45224</x:v>
      </x:c>
      <x:c r="C113" s="12" t="str">
        <x:v>KS-INJECTION-1000-VAT-202310</x:v>
      </x:c>
      <x:c r="D113" s="12" t="str">
        <x:v>模拟税费账户</x:v>
      </x:c>
      <x:c r="E113" s="12" t="str">
        <x:v>增值税</x:v>
      </x:c>
      <x:c r="F113" s="13" t="n">
        <x:v>0</x:v>
      </x:c>
      <x:c r="G113" s="13" t="n">
        <x:v>317444</x:v>
      </x:c>
      <x:c r="H113" s="13" t="n">
        <x:v>13202405</x:v>
      </x:c>
      <x:c r="I113" s="12" t="str">
        <x:v>CNY</x:v>
      </x:c>
      <x:c r="J113" s="12" t="str">
        <x:v>SYNTHETIC</x:v>
      </x:c>
    </x:row>
    <x:row r="114" ht="38" customHeight="1">
      <x:c r="A114" s="12" t="str">
        <x:v>KS-INJECTION-1000-B0110</x:v>
      </x:c>
      <x:c r="B114" s="14" t="n">
        <x:v>45224</x:v>
      </x:c>
      <x:c r="C114" s="12" t="str">
        <x:v>KS-INJECTION-1000-CIT-202310</x:v>
      </x:c>
      <x:c r="D114" s="12" t="str">
        <x:v>模拟税费账户</x:v>
      </x:c>
      <x:c r="E114" s="12" t="str">
        <x:v>所得税</x:v>
      </x:c>
      <x:c r="F114" s="13" t="n">
        <x:v>0</x:v>
      </x:c>
      <x:c r="G114" s="13" t="n">
        <x:v>282920</x:v>
      </x:c>
      <x:c r="H114" s="13" t="n">
        <x:v>12919485</x:v>
      </x:c>
      <x:c r="I114" s="12" t="str">
        <x:v>CNY</x:v>
      </x:c>
      <x:c r="J114" s="12" t="str">
        <x:v>SYNTHETIC</x:v>
      </x:c>
    </x:row>
    <x:row r="115" ht="38" customHeight="1">
      <x:c r="A115" s="12" t="str">
        <x:v>KS-INJECTION-1000-B0111</x:v>
      </x:c>
      <x:c r="B115" s="14" t="n">
        <x:v>45242</x:v>
      </x:c>
      <x:c r="C115" s="12" t="str">
        <x:v>KS-INJECTION-1000-S-202311-1</x:v>
      </x:c>
      <x:c r="D115" s="12" t="str">
        <x:v>模拟下游1</x:v>
      </x:c>
      <x:c r="E115" s="12" t="str">
        <x:v>销售回款</x:v>
      </x:c>
      <x:c r="F115" s="13" t="n">
        <x:v>1710458</x:v>
      </x:c>
      <x:c r="G115" s="13" t="n">
        <x:v>0</x:v>
      </x:c>
      <x:c r="H115" s="13" t="n">
        <x:v>14629943</x:v>
      </x:c>
      <x:c r="I115" s="12" t="str">
        <x:v>CNY</x:v>
      </x:c>
      <x:c r="J115" s="12" t="str">
        <x:v>SYNTHETIC</x:v>
      </x:c>
    </x:row>
    <x:row r="116" ht="38" customHeight="1">
      <x:c r="A116" s="12" t="str">
        <x:v>KS-INJECTION-1000-B0112</x:v>
      </x:c>
      <x:c r="B116" s="14" t="n">
        <x:v>45243</x:v>
      </x:c>
      <x:c r="C116" s="12" t="str">
        <x:v>KS-INJECTION-1000-S-202311-2</x:v>
      </x:c>
      <x:c r="D116" s="12" t="str">
        <x:v>模拟下游2</x:v>
      </x:c>
      <x:c r="E116" s="12" t="str">
        <x:v>销售回款</x:v>
      </x:c>
      <x:c r="F116" s="13" t="n">
        <x:v>1660151</x:v>
      </x:c>
      <x:c r="G116" s="13" t="n">
        <x:v>0</x:v>
      </x:c>
      <x:c r="H116" s="13" t="n">
        <x:v>16290094</x:v>
      </x:c>
      <x:c r="I116" s="12" t="str">
        <x:v>CNY</x:v>
      </x:c>
      <x:c r="J116" s="12" t="str">
        <x:v>SYNTHETIC</x:v>
      </x:c>
    </x:row>
    <x:row r="117" ht="38" customHeight="1">
      <x:c r="A117" s="12" t="str">
        <x:v>KS-INJECTION-1000-B0113</x:v>
      </x:c>
      <x:c r="B117" s="14" t="n">
        <x:v>45244</x:v>
      </x:c>
      <x:c r="C117" s="12" t="str">
        <x:v>KS-INJECTION-1000-S-202311-3</x:v>
      </x:c>
      <x:c r="D117" s="12" t="str">
        <x:v>模拟下游3</x:v>
      </x:c>
      <x:c r="E117" s="12" t="str">
        <x:v>销售回款</x:v>
      </x:c>
      <x:c r="F117" s="13" t="n">
        <x:v>1660151</x:v>
      </x:c>
      <x:c r="G117" s="13" t="n">
        <x:v>0</x:v>
      </x:c>
      <x:c r="H117" s="13" t="n">
        <x:v>17950245</x:v>
      </x:c>
      <x:c r="I117" s="12" t="str">
        <x:v>CNY</x:v>
      </x:c>
      <x:c r="J117" s="12" t="str">
        <x:v>SYNTHETIC</x:v>
      </x:c>
    </x:row>
    <x:row r="118" ht="38" customHeight="1">
      <x:c r="A118" s="12" t="str">
        <x:v>KS-INJECTION-1000-B0114</x:v>
      </x:c>
      <x:c r="B118" s="14" t="n">
        <x:v>45246</x:v>
      </x:c>
      <x:c r="C118" s="12" t="str">
        <x:v>KS-INJECTION-1000-P-202311-1</x:v>
      </x:c>
      <x:c r="D118" s="12" t="str">
        <x:v>模拟原料商1</x:v>
      </x:c>
      <x:c r="E118" s="12" t="str">
        <x:v>原料付款</x:v>
      </x:c>
      <x:c r="F118" s="13" t="n">
        <x:v>0</x:v>
      </x:c>
      <x:c r="G118" s="13" t="n">
        <x:v>1297936</x:v>
      </x:c>
      <x:c r="H118" s="13" t="n">
        <x:v>16652309</x:v>
      </x:c>
      <x:c r="I118" s="12" t="str">
        <x:v>CNY</x:v>
      </x:c>
      <x:c r="J118" s="12" t="str">
        <x:v>SYNTHETIC</x:v>
      </x:c>
    </x:row>
    <x:row r="119" ht="38" customHeight="1">
      <x:c r="A119" s="12" t="str">
        <x:v>KS-INJECTION-1000-B0115</x:v>
      </x:c>
      <x:c r="B119" s="14" t="n">
        <x:v>45247</x:v>
      </x:c>
      <x:c r="C119" s="12" t="str">
        <x:v>KS-INJECTION-1000-P-202311-2</x:v>
      </x:c>
      <x:c r="D119" s="12" t="str">
        <x:v>模拟原料商2</x:v>
      </x:c>
      <x:c r="E119" s="12" t="str">
        <x:v>原料付款</x:v>
      </x:c>
      <x:c r="F119" s="13" t="n">
        <x:v>0</x:v>
      </x:c>
      <x:c r="G119" s="13" t="n">
        <x:v>865291</x:v>
      </x:c>
      <x:c r="H119" s="13" t="n">
        <x:v>15787018</x:v>
      </x:c>
      <x:c r="I119" s="12" t="str">
        <x:v>CNY</x:v>
      </x:c>
      <x:c r="J119" s="12" t="str">
        <x:v>SYNTHETIC</x:v>
      </x:c>
    </x:row>
    <x:row r="120" ht="38" customHeight="1">
      <x:c r="A120" s="12" t="str">
        <x:v>KS-INJECTION-1000-B0116</x:v>
      </x:c>
      <x:c r="B120" s="14" t="n">
        <x:v>45255</x:v>
      </x:c>
      <x:c r="C120" s="12" t="str">
        <x:v>KS-INJECTION-1000-PAY-202311</x:v>
      </x:c>
      <x:c r="D120" s="12" t="str">
        <x:v>模拟工资代发</x:v>
      </x:c>
      <x:c r="E120" s="12" t="str">
        <x:v>工资</x:v>
      </x:c>
      <x:c r="F120" s="13" t="n">
        <x:v>0</x:v>
      </x:c>
      <x:c r="G120" s="13" t="n">
        <x:v>520000</x:v>
      </x:c>
      <x:c r="H120" s="13" t="n">
        <x:v>15267018</x:v>
      </x:c>
      <x:c r="I120" s="12" t="str">
        <x:v>CNY</x:v>
      </x:c>
      <x:c r="J120" s="12" t="str">
        <x:v>SYNTHETIC</x:v>
      </x:c>
    </x:row>
    <x:row r="121" ht="38" customHeight="1">
      <x:c r="A121" s="12" t="str">
        <x:v>KS-INJECTION-1000-B0117</x:v>
      </x:c>
      <x:c r="B121" s="14" t="n">
        <x:v>45255</x:v>
      </x:c>
      <x:c r="C121" s="12" t="str">
        <x:v>KS-INJECTION-1000-ELEC-202311</x:v>
      </x:c>
      <x:c r="D121" s="12" t="str">
        <x:v>模拟供电结算</x:v>
      </x:c>
      <x:c r="E121" s="12" t="str">
        <x:v>电费</x:v>
      </x:c>
      <x:c r="F121" s="13" t="n">
        <x:v>0</x:v>
      </x:c>
      <x:c r="G121" s="13" t="n">
        <x:v>275600</x:v>
      </x:c>
      <x:c r="H121" s="13" t="n">
        <x:v>14991418</x:v>
      </x:c>
      <x:c r="I121" s="12" t="str">
        <x:v>CNY</x:v>
      </x:c>
      <x:c r="J121" s="12" t="str">
        <x:v>SYNTHETIC</x:v>
      </x:c>
    </x:row>
    <x:row r="122" ht="38" customHeight="1">
      <x:c r="A122" s="12" t="str">
        <x:v>KS-INJECTION-1000-B0118</x:v>
      </x:c>
      <x:c r="B122" s="14" t="n">
        <x:v>45255</x:v>
      </x:c>
      <x:c r="C122" s="12" t="str">
        <x:v>KS-INJECTION-1000-OPEX-202311</x:v>
      </x:c>
      <x:c r="D122" s="12" t="str">
        <x:v>模拟费用结算</x:v>
      </x:c>
      <x:c r="E122" s="12" t="str">
        <x:v>管理销售费用</x:v>
      </x:c>
      <x:c r="F122" s="13" t="n">
        <x:v>0</x:v>
      </x:c>
      <x:c r="G122" s="13" t="n">
        <x:v>320000</x:v>
      </x:c>
      <x:c r="H122" s="13" t="n">
        <x:v>14671418</x:v>
      </x:c>
      <x:c r="I122" s="12" t="str">
        <x:v>CNY</x:v>
      </x:c>
      <x:c r="J122" s="12" t="str">
        <x:v>SYNTHETIC</x:v>
      </x:c>
    </x:row>
    <x:row r="123" ht="38" customHeight="1">
      <x:c r="A123" s="12" t="str">
        <x:v>KS-INJECTION-1000-B0119</x:v>
      </x:c>
      <x:c r="B123" s="14" t="n">
        <x:v>45255</x:v>
      </x:c>
      <x:c r="C123" s="12" t="str">
        <x:v>KS-INJECTION-1000-INT-202311</x:v>
      </x:c>
      <x:c r="D123" s="12" t="str">
        <x:v>模拟融资机构</x:v>
      </x:c>
      <x:c r="E123" s="12" t="str">
        <x:v>利息</x:v>
      </x:c>
      <x:c r="F123" s="13" t="n">
        <x:v>0</x:v>
      </x:c>
      <x:c r="G123" s="13" t="n">
        <x:v>25000</x:v>
      </x:c>
      <x:c r="H123" s="13" t="n">
        <x:v>14646418</x:v>
      </x:c>
      <x:c r="I123" s="12" t="str">
        <x:v>CNY</x:v>
      </x:c>
      <x:c r="J123" s="12" t="str">
        <x:v>SYNTHETIC</x:v>
      </x:c>
    </x:row>
    <x:row r="124" ht="38" customHeight="1">
      <x:c r="A124" s="12" t="str">
        <x:v>KS-INJECTION-1000-B0120</x:v>
      </x:c>
      <x:c r="B124" s="14" t="n">
        <x:v>45255</x:v>
      </x:c>
      <x:c r="C124" s="12" t="str">
        <x:v>KS-INJECTION-1000-VAT-202311</x:v>
      </x:c>
      <x:c r="D124" s="12" t="str">
        <x:v>模拟税费账户</x:v>
      </x:c>
      <x:c r="E124" s="12" t="str">
        <x:v>增值税</x:v>
      </x:c>
      <x:c r="F124" s="13" t="n">
        <x:v>0</x:v>
      </x:c>
      <x:c r="G124" s="13" t="n">
        <x:v>329893</x:v>
      </x:c>
      <x:c r="H124" s="13" t="n">
        <x:v>14316525</x:v>
      </x:c>
      <x:c r="I124" s="12" t="str">
        <x:v>CNY</x:v>
      </x:c>
      <x:c r="J124" s="12" t="str">
        <x:v>SYNTHETIC</x:v>
      </x:c>
    </x:row>
    <x:row r="125" ht="38" customHeight="1">
      <x:c r="A125" s="12" t="str">
        <x:v>KS-INJECTION-1000-B0121</x:v>
      </x:c>
      <x:c r="B125" s="14" t="n">
        <x:v>45255</x:v>
      </x:c>
      <x:c r="C125" s="12" t="str">
        <x:v>KS-INJECTION-1000-CIT-202311</x:v>
      </x:c>
      <x:c r="D125" s="12" t="str">
        <x:v>模拟税费账户</x:v>
      </x:c>
      <x:c r="E125" s="12" t="str">
        <x:v>所得税</x:v>
      </x:c>
      <x:c r="F125" s="13" t="n">
        <x:v>0</x:v>
      </x:c>
      <x:c r="G125" s="13" t="n">
        <x:v>304260</x:v>
      </x:c>
      <x:c r="H125" s="13" t="n">
        <x:v>14012265</x:v>
      </x:c>
      <x:c r="I125" s="12" t="str">
        <x:v>CNY</x:v>
      </x:c>
      <x:c r="J125" s="12" t="str">
        <x:v>SYNTHETIC</x:v>
      </x:c>
    </x:row>
    <x:row r="126" ht="38" customHeight="1">
      <x:c r="A126" s="12" t="str">
        <x:v>KS-INJECTION-1000-B0122</x:v>
      </x:c>
      <x:c r="B126" s="14" t="n">
        <x:v>45272</x:v>
      </x:c>
      <x:c r="C126" s="12" t="str">
        <x:v>KS-INJECTION-1000-S-202312-1</x:v>
      </x:c>
      <x:c r="D126" s="12" t="str">
        <x:v>模拟下游1</x:v>
      </x:c>
      <x:c r="E126" s="12" t="str">
        <x:v>销售回款</x:v>
      </x:c>
      <x:c r="F126" s="13" t="n">
        <x:v>1775004</x:v>
      </x:c>
      <x:c r="G126" s="13" t="n">
        <x:v>0</x:v>
      </x:c>
      <x:c r="H126" s="13" t="n">
        <x:v>15787269</x:v>
      </x:c>
      <x:c r="I126" s="12" t="str">
        <x:v>CNY</x:v>
      </x:c>
      <x:c r="J126" s="12" t="str">
        <x:v>SYNTHETIC</x:v>
      </x:c>
    </x:row>
    <x:row r="127" ht="38" customHeight="1">
      <x:c r="A127" s="12" t="str">
        <x:v>KS-INJECTION-1000-B0123</x:v>
      </x:c>
      <x:c r="B127" s="14" t="n">
        <x:v>45273</x:v>
      </x:c>
      <x:c r="C127" s="12" t="str">
        <x:v>KS-INJECTION-1000-S-202312-2</x:v>
      </x:c>
      <x:c r="D127" s="12" t="str">
        <x:v>模拟下游2</x:v>
      </x:c>
      <x:c r="E127" s="12" t="str">
        <x:v>销售回款</x:v>
      </x:c>
      <x:c r="F127" s="13" t="n">
        <x:v>1722798</x:v>
      </x:c>
      <x:c r="G127" s="13" t="n">
        <x:v>0</x:v>
      </x:c>
      <x:c r="H127" s="13" t="n">
        <x:v>17510067</x:v>
      </x:c>
      <x:c r="I127" s="12" t="str">
        <x:v>CNY</x:v>
      </x:c>
      <x:c r="J127" s="12" t="str">
        <x:v>SYNTHETIC</x:v>
      </x:c>
    </x:row>
    <x:row r="128" ht="38" customHeight="1">
      <x:c r="A128" s="12" t="str">
        <x:v>KS-INJECTION-1000-B0124</x:v>
      </x:c>
      <x:c r="B128" s="14" t="n">
        <x:v>45274</x:v>
      </x:c>
      <x:c r="C128" s="12" t="str">
        <x:v>KS-INJECTION-1000-S-202312-3</x:v>
      </x:c>
      <x:c r="D128" s="12" t="str">
        <x:v>模拟下游3</x:v>
      </x:c>
      <x:c r="E128" s="12" t="str">
        <x:v>销售回款</x:v>
      </x:c>
      <x:c r="F128" s="13" t="n">
        <x:v>1722798</x:v>
      </x:c>
      <x:c r="G128" s="13" t="n">
        <x:v>0</x:v>
      </x:c>
      <x:c r="H128" s="13" t="n">
        <x:v>19232865</x:v>
      </x:c>
      <x:c r="I128" s="12" t="str">
        <x:v>CNY</x:v>
      </x:c>
      <x:c r="J128" s="12" t="str">
        <x:v>SYNTHETIC</x:v>
      </x:c>
    </x:row>
    <x:row r="129" ht="38" customHeight="1">
      <x:c r="A129" s="12" t="str">
        <x:v>KS-INJECTION-1000-B0125</x:v>
      </x:c>
      <x:c r="B129" s="14" t="n">
        <x:v>45276</x:v>
      </x:c>
      <x:c r="C129" s="12" t="str">
        <x:v>KS-INJECTION-1000-P-202312-1</x:v>
      </x:c>
      <x:c r="D129" s="12" t="str">
        <x:v>模拟原料商1</x:v>
      </x:c>
      <x:c r="E129" s="12" t="str">
        <x:v>原料付款</x:v>
      </x:c>
      <x:c r="F129" s="13" t="n">
        <x:v>0</x:v>
      </x:c>
      <x:c r="G129" s="13" t="n">
        <x:v>1346915</x:v>
      </x:c>
      <x:c r="H129" s="13" t="n">
        <x:v>17885950</x:v>
      </x:c>
      <x:c r="I129" s="12" t="str">
        <x:v>CNY</x:v>
      </x:c>
      <x:c r="J129" s="12" t="str">
        <x:v>SYNTHETIC</x:v>
      </x:c>
    </x:row>
    <x:row r="130" ht="38" customHeight="1">
      <x:c r="A130" s="12" t="str">
        <x:v>KS-INJECTION-1000-B0126</x:v>
      </x:c>
      <x:c r="B130" s="14" t="n">
        <x:v>45277</x:v>
      </x:c>
      <x:c r="C130" s="12" t="str">
        <x:v>KS-INJECTION-1000-P-202312-2</x:v>
      </x:c>
      <x:c r="D130" s="12" t="str">
        <x:v>模拟原料商2</x:v>
      </x:c>
      <x:c r="E130" s="12" t="str">
        <x:v>原料付款</x:v>
      </x:c>
      <x:c r="F130" s="13" t="n">
        <x:v>0</x:v>
      </x:c>
      <x:c r="G130" s="13" t="n">
        <x:v>897943</x:v>
      </x:c>
      <x:c r="H130" s="13" t="n">
        <x:v>16988007</x:v>
      </x:c>
      <x:c r="I130" s="12" t="str">
        <x:v>CNY</x:v>
      </x:c>
      <x:c r="J130" s="12" t="str">
        <x:v>SYNTHETIC</x:v>
      </x:c>
    </x:row>
    <x:row r="131" ht="38" customHeight="1">
      <x:c r="A131" s="12" t="str">
        <x:v>KS-INJECTION-1000-B0127</x:v>
      </x:c>
      <x:c r="B131" s="14" t="n">
        <x:v>45285</x:v>
      </x:c>
      <x:c r="C131" s="12" t="str">
        <x:v>KS-INJECTION-1000-PAY-202312</x:v>
      </x:c>
      <x:c r="D131" s="12" t="str">
        <x:v>模拟工资代发</x:v>
      </x:c>
      <x:c r="E131" s="12" t="str">
        <x:v>工资</x:v>
      </x:c>
      <x:c r="F131" s="13" t="n">
        <x:v>0</x:v>
      </x:c>
      <x:c r="G131" s="13" t="n">
        <x:v>520000</x:v>
      </x:c>
      <x:c r="H131" s="13" t="n">
        <x:v>16468007</x:v>
      </x:c>
      <x:c r="I131" s="12" t="str">
        <x:v>CNY</x:v>
      </x:c>
      <x:c r="J131" s="12" t="str">
        <x:v>SYNTHETIC</x:v>
      </x:c>
    </x:row>
    <x:row r="132" ht="38" customHeight="1">
      <x:c r="A132" s="12" t="str">
        <x:v>KS-INJECTION-1000-B0128</x:v>
      </x:c>
      <x:c r="B132" s="14" t="n">
        <x:v>45285</x:v>
      </x:c>
      <x:c r="C132" s="12" t="str">
        <x:v>KS-INJECTION-1000-ELEC-202312</x:v>
      </x:c>
      <x:c r="D132" s="12" t="str">
        <x:v>模拟供电结算</x:v>
      </x:c>
      <x:c r="E132" s="12" t="str">
        <x:v>电费</x:v>
      </x:c>
      <x:c r="F132" s="13" t="n">
        <x:v>0</x:v>
      </x:c>
      <x:c r="G132" s="13" t="n">
        <x:v>286000</x:v>
      </x:c>
      <x:c r="H132" s="13" t="n">
        <x:v>16182007</x:v>
      </x:c>
      <x:c r="I132" s="12" t="str">
        <x:v>CNY</x:v>
      </x:c>
      <x:c r="J132" s="12" t="str">
        <x:v>SYNTHETIC</x:v>
      </x:c>
    </x:row>
    <x:row r="133" ht="38" customHeight="1">
      <x:c r="A133" s="12" t="str">
        <x:v>KS-INJECTION-1000-B0129</x:v>
      </x:c>
      <x:c r="B133" s="14" t="n">
        <x:v>45285</x:v>
      </x:c>
      <x:c r="C133" s="12" t="str">
        <x:v>KS-INJECTION-1000-OPEX-202312</x:v>
      </x:c>
      <x:c r="D133" s="12" t="str">
        <x:v>模拟费用结算</x:v>
      </x:c>
      <x:c r="E133" s="12" t="str">
        <x:v>管理销售费用</x:v>
      </x:c>
      <x:c r="F133" s="13" t="n">
        <x:v>0</x:v>
      </x:c>
      <x:c r="G133" s="13" t="n">
        <x:v>320000</x:v>
      </x:c>
      <x:c r="H133" s="13" t="n">
        <x:v>15862007</x:v>
      </x:c>
      <x:c r="I133" s="12" t="str">
        <x:v>CNY</x:v>
      </x:c>
      <x:c r="J133" s="12" t="str">
        <x:v>SYNTHETIC</x:v>
      </x:c>
    </x:row>
    <x:row r="134" ht="38" customHeight="1">
      <x:c r="A134" s="12" t="str">
        <x:v>KS-INJECTION-1000-B0130</x:v>
      </x:c>
      <x:c r="B134" s="14" t="n">
        <x:v>45285</x:v>
      </x:c>
      <x:c r="C134" s="12" t="str">
        <x:v>KS-INJECTION-1000-INT-202312</x:v>
      </x:c>
      <x:c r="D134" s="12" t="str">
        <x:v>模拟融资机构</x:v>
      </x:c>
      <x:c r="E134" s="12" t="str">
        <x:v>利息</x:v>
      </x:c>
      <x:c r="F134" s="13" t="n">
        <x:v>0</x:v>
      </x:c>
      <x:c r="G134" s="13" t="n">
        <x:v>25000</x:v>
      </x:c>
      <x:c r="H134" s="13" t="n">
        <x:v>15837007</x:v>
      </x:c>
      <x:c r="I134" s="12" t="str">
        <x:v>CNY</x:v>
      </x:c>
      <x:c r="J134" s="12" t="str">
        <x:v>SYNTHETIC</x:v>
      </x:c>
    </x:row>
    <x:row r="135" ht="38" customHeight="1">
      <x:c r="A135" s="12" t="str">
        <x:v>KS-INJECTION-1000-B0131</x:v>
      </x:c>
      <x:c r="B135" s="14" t="n">
        <x:v>45285</x:v>
      </x:c>
      <x:c r="C135" s="12" t="str">
        <x:v>KS-INJECTION-1000-VAT-202312</x:v>
      </x:c>
      <x:c r="D135" s="12" t="str">
        <x:v>模拟税费账户</x:v>
      </x:c>
      <x:c r="E135" s="12" t="str">
        <x:v>增值税</x:v>
      </x:c>
      <x:c r="F135" s="13" t="n">
        <x:v>0</x:v>
      </x:c>
      <x:c r="G135" s="13" t="n">
        <x:v>342342</x:v>
      </x:c>
      <x:c r="H135" s="13" t="n">
        <x:v>15494665</x:v>
      </x:c>
      <x:c r="I135" s="12" t="str">
        <x:v>CNY</x:v>
      </x:c>
      <x:c r="J135" s="12" t="str">
        <x:v>SYNTHETIC</x:v>
      </x:c>
    </x:row>
    <x:row r="136" ht="38" customHeight="1">
      <x:c r="A136" s="12" t="str">
        <x:v>KS-INJECTION-1000-B0132</x:v>
      </x:c>
      <x:c r="B136" s="14" t="n">
        <x:v>45285</x:v>
      </x:c>
      <x:c r="C136" s="12" t="str">
        <x:v>KS-INJECTION-1000-CIT-202312</x:v>
      </x:c>
      <x:c r="D136" s="12" t="str">
        <x:v>模拟税费账户</x:v>
      </x:c>
      <x:c r="E136" s="12" t="str">
        <x:v>所得税</x:v>
      </x:c>
      <x:c r="F136" s="13" t="n">
        <x:v>0</x:v>
      </x:c>
      <x:c r="G136" s="13" t="n">
        <x:v>325600</x:v>
      </x:c>
      <x:c r="H136" s="13" t="n">
        <x:v>15169065</x:v>
      </x:c>
      <x:c r="I136" s="12" t="str">
        <x:v>CNY</x:v>
      </x:c>
      <x:c r="J136" s="12" t="str">
        <x:v>SYNTHETIC</x:v>
      </x:c>
    </x:row>
    <x:row r="137" ht="38" customHeight="1">
      <x:c r="A137" s="12" t="str">
        <x:v>KS-INJECTION-1000-B0133</x:v>
      </x:c>
      <x:c r="B137" s="14" t="n">
        <x:v>45288</x:v>
      </x:c>
      <x:c r="C137" s="12" t="str">
        <x:v>KS-INJECTION-1000-DIV-2023</x:v>
      </x:c>
      <x:c r="D137" s="12" t="str">
        <x:v>模拟股东</x:v>
      </x:c>
      <x:c r="E137" s="12" t="str">
        <x:v>利润分配（筹资）</x:v>
      </x:c>
      <x:c r="F137" s="13" t="n">
        <x:v>0</x:v>
      </x:c>
      <x:c r="G137" s="13" t="n">
        <x:v>11169065</x:v>
      </x:c>
      <x:c r="H137" s="13" t="n">
        <x:v>4000000</x:v>
      </x:c>
      <x:c r="I137" s="12" t="str">
        <x:v>CNY</x:v>
      </x:c>
      <x:c r="J137" s="12" t="str">
        <x:v>SYNTHETIC</x:v>
      </x:c>
    </x:row>
    <x:row r="138" ht="38" customHeight="1">
      <x:c r="A138" s="12" t="str">
        <x:v>KS-INJECTION-1000-B0134</x:v>
      </x:c>
      <x:c r="B138" s="14" t="n">
        <x:v>45303</x:v>
      </x:c>
      <x:c r="C138" s="12" t="str">
        <x:v>KS-INJECTION-1000-S-202401-1</x:v>
      </x:c>
      <x:c r="D138" s="12" t="str">
        <x:v>模拟下游1</x:v>
      </x:c>
      <x:c r="E138" s="12" t="str">
        <x:v>销售回款</x:v>
      </x:c>
      <x:c r="F138" s="13" t="n">
        <x:v>1394185</x:v>
      </x:c>
      <x:c r="G138" s="13" t="n">
        <x:v>0</x:v>
      </x:c>
      <x:c r="H138" s="13" t="n">
        <x:v>5394185</x:v>
      </x:c>
      <x:c r="I138" s="12" t="str">
        <x:v>CNY</x:v>
      </x:c>
      <x:c r="J138" s="12" t="str">
        <x:v>SYNTHETIC</x:v>
      </x:c>
    </x:row>
    <x:row r="139" ht="38" customHeight="1">
      <x:c r="A139" s="12" t="str">
        <x:v>KS-INJECTION-1000-B0135</x:v>
      </x:c>
      <x:c r="B139" s="14" t="n">
        <x:v>45304</x:v>
      </x:c>
      <x:c r="C139" s="12" t="str">
        <x:v>KS-INJECTION-1000-S-202401-2</x:v>
      </x:c>
      <x:c r="D139" s="12" t="str">
        <x:v>模拟下游2</x:v>
      </x:c>
      <x:c r="E139" s="12" t="str">
        <x:v>销售回款</x:v>
      </x:c>
      <x:c r="F139" s="13" t="n">
        <x:v>1353180</x:v>
      </x:c>
      <x:c r="G139" s="13" t="n">
        <x:v>0</x:v>
      </x:c>
      <x:c r="H139" s="13" t="n">
        <x:v>6747365</x:v>
      </x:c>
      <x:c r="I139" s="12" t="str">
        <x:v>CNY</x:v>
      </x:c>
      <x:c r="J139" s="12" t="str">
        <x:v>SYNTHETIC</x:v>
      </x:c>
    </x:row>
    <x:row r="140" ht="38" customHeight="1">
      <x:c r="A140" s="12" t="str">
        <x:v>KS-INJECTION-1000-B0136</x:v>
      </x:c>
      <x:c r="B140" s="14" t="n">
        <x:v>45305</x:v>
      </x:c>
      <x:c r="C140" s="12" t="str">
        <x:v>KS-INJECTION-1000-S-202401-3</x:v>
      </x:c>
      <x:c r="D140" s="12" t="str">
        <x:v>模拟下游3</x:v>
      </x:c>
      <x:c r="E140" s="12" t="str">
        <x:v>销售回款</x:v>
      </x:c>
      <x:c r="F140" s="13" t="n">
        <x:v>1353179</x:v>
      </x:c>
      <x:c r="G140" s="13" t="n">
        <x:v>0</x:v>
      </x:c>
      <x:c r="H140" s="13" t="n">
        <x:v>8100544</x:v>
      </x:c>
      <x:c r="I140" s="12" t="str">
        <x:v>CNY</x:v>
      </x:c>
      <x:c r="J140" s="12" t="str">
        <x:v>SYNTHETIC</x:v>
      </x:c>
    </x:row>
    <x:row r="141" ht="38" customHeight="1">
      <x:c r="A141" s="12" t="str">
        <x:v>KS-INJECTION-1000-B0137</x:v>
      </x:c>
      <x:c r="B141" s="14" t="n">
        <x:v>45307</x:v>
      </x:c>
      <x:c r="C141" s="12" t="str">
        <x:v>KS-INJECTION-1000-P-202401-1</x:v>
      </x:c>
      <x:c r="D141" s="12" t="str">
        <x:v>模拟原料商1</x:v>
      </x:c>
      <x:c r="E141" s="12" t="str">
        <x:v>原料付款</x:v>
      </x:c>
      <x:c r="F141" s="13" t="n">
        <x:v>0</x:v>
      </x:c>
      <x:c r="G141" s="13" t="n">
        <x:v>1057940</x:v>
      </x:c>
      <x:c r="H141" s="13" t="n">
        <x:v>7042604</x:v>
      </x:c>
      <x:c r="I141" s="12" t="str">
        <x:v>CNY</x:v>
      </x:c>
      <x:c r="J141" s="12" t="str">
        <x:v>SYNTHETIC</x:v>
      </x:c>
    </x:row>
    <x:row r="142" ht="38" customHeight="1">
      <x:c r="A142" s="12" t="str">
        <x:v>KS-INJECTION-1000-B0138</x:v>
      </x:c>
      <x:c r="B142" s="14" t="n">
        <x:v>45308</x:v>
      </x:c>
      <x:c r="C142" s="12" t="str">
        <x:v>KS-INJECTION-1000-P-202401-2</x:v>
      </x:c>
      <x:c r="D142" s="12" t="str">
        <x:v>模拟原料商2</x:v>
      </x:c>
      <x:c r="E142" s="12" t="str">
        <x:v>原料付款</x:v>
      </x:c>
      <x:c r="F142" s="13" t="n">
        <x:v>0</x:v>
      </x:c>
      <x:c r="G142" s="13" t="n">
        <x:v>705294</x:v>
      </x:c>
      <x:c r="H142" s="13" t="n">
        <x:v>6337310</x:v>
      </x:c>
      <x:c r="I142" s="12" t="str">
        <x:v>CNY</x:v>
      </x:c>
      <x:c r="J142" s="12" t="str">
        <x:v>SYNTHETIC</x:v>
      </x:c>
    </x:row>
    <x:row r="143" ht="38" customHeight="1">
      <x:c r="A143" s="12" t="str">
        <x:v>KS-INJECTION-1000-B0139</x:v>
      </x:c>
      <x:c r="B143" s="14" t="n">
        <x:v>45316</x:v>
      </x:c>
      <x:c r="C143" s="12" t="str">
        <x:v>KS-INJECTION-1000-PAY-202401</x:v>
      </x:c>
      <x:c r="D143" s="12" t="str">
        <x:v>模拟工资代发</x:v>
      </x:c>
      <x:c r="E143" s="12" t="str">
        <x:v>工资</x:v>
      </x:c>
      <x:c r="F143" s="13" t="n">
        <x:v>0</x:v>
      </x:c>
      <x:c r="G143" s="13" t="n">
        <x:v>520000</x:v>
      </x:c>
      <x:c r="H143" s="13" t="n">
        <x:v>5817310</x:v>
      </x:c>
      <x:c r="I143" s="12" t="str">
        <x:v>CNY</x:v>
      </x:c>
      <x:c r="J143" s="12" t="str">
        <x:v>SYNTHETIC</x:v>
      </x:c>
    </x:row>
    <x:row r="144" ht="38" customHeight="1">
      <x:c r="A144" s="12" t="str">
        <x:v>KS-INJECTION-1000-B0140</x:v>
      </x:c>
      <x:c r="B144" s="14" t="n">
        <x:v>45316</x:v>
      </x:c>
      <x:c r="C144" s="12" t="str">
        <x:v>KS-INJECTION-1000-ELEC-202401</x:v>
      </x:c>
      <x:c r="D144" s="12" t="str">
        <x:v>模拟供电结算</x:v>
      </x:c>
      <x:c r="E144" s="12" t="str">
        <x:v>电费</x:v>
      </x:c>
      <x:c r="F144" s="13" t="n">
        <x:v>0</x:v>
      </x:c>
      <x:c r="G144" s="13" t="n">
        <x:v>208000</x:v>
      </x:c>
      <x:c r="H144" s="13" t="n">
        <x:v>5609310</x:v>
      </x:c>
      <x:c r="I144" s="12" t="str">
        <x:v>CNY</x:v>
      </x:c>
      <x:c r="J144" s="12" t="str">
        <x:v>SYNTHETIC</x:v>
      </x:c>
    </x:row>
    <x:row r="145" ht="38" customHeight="1">
      <x:c r="A145" s="12" t="str">
        <x:v>KS-INJECTION-1000-B0141</x:v>
      </x:c>
      <x:c r="B145" s="14" t="n">
        <x:v>45316</x:v>
      </x:c>
      <x:c r="C145" s="12" t="str">
        <x:v>KS-INJECTION-1000-OPEX-202401</x:v>
      </x:c>
      <x:c r="D145" s="12" t="str">
        <x:v>模拟费用结算</x:v>
      </x:c>
      <x:c r="E145" s="12" t="str">
        <x:v>管理销售费用</x:v>
      </x:c>
      <x:c r="F145" s="13" t="n">
        <x:v>0</x:v>
      </x:c>
      <x:c r="G145" s="13" t="n">
        <x:v>320000</x:v>
      </x:c>
      <x:c r="H145" s="13" t="n">
        <x:v>5289310</x:v>
      </x:c>
      <x:c r="I145" s="12" t="str">
        <x:v>CNY</x:v>
      </x:c>
      <x:c r="J145" s="12" t="str">
        <x:v>SYNTHETIC</x:v>
      </x:c>
    </x:row>
    <x:row r="146" ht="38" customHeight="1">
      <x:c r="A146" s="12" t="str">
        <x:v>KS-INJECTION-1000-B0142</x:v>
      </x:c>
      <x:c r="B146" s="14" t="n">
        <x:v>45316</x:v>
      </x:c>
      <x:c r="C146" s="12" t="str">
        <x:v>KS-INJECTION-1000-INT-202401</x:v>
      </x:c>
      <x:c r="D146" s="12" t="str">
        <x:v>模拟融资机构</x:v>
      </x:c>
      <x:c r="E146" s="12" t="str">
        <x:v>利息</x:v>
      </x:c>
      <x:c r="F146" s="13" t="n">
        <x:v>0</x:v>
      </x:c>
      <x:c r="G146" s="13" t="n">
        <x:v>25000</x:v>
      </x:c>
      <x:c r="H146" s="13" t="n">
        <x:v>5264310</x:v>
      </x:c>
      <x:c r="I146" s="12" t="str">
        <x:v>CNY</x:v>
      </x:c>
      <x:c r="J146" s="12" t="str">
        <x:v>SYNTHETIC</x:v>
      </x:c>
    </x:row>
    <x:row r="147" ht="38" customHeight="1">
      <x:c r="A147" s="12" t="str">
        <x:v>KS-INJECTION-1000-B0143</x:v>
      </x:c>
      <x:c r="B147" s="14" t="n">
        <x:v>45316</x:v>
      </x:c>
      <x:c r="C147" s="12" t="str">
        <x:v>KS-INJECTION-1000-VAT-202401</x:v>
      </x:c>
      <x:c r="D147" s="12" t="str">
        <x:v>模拟税费账户</x:v>
      </x:c>
      <x:c r="E147" s="12" t="str">
        <x:v>增值税</x:v>
      </x:c>
      <x:c r="F147" s="13" t="n">
        <x:v>0</x:v>
      </x:c>
      <x:c r="G147" s="13" t="n">
        <x:v>268894</x:v>
      </x:c>
      <x:c r="H147" s="13" t="n">
        <x:v>4995416</x:v>
      </x:c>
      <x:c r="I147" s="12" t="str">
        <x:v>CNY</x:v>
      </x:c>
      <x:c r="J147" s="12" t="str">
        <x:v>SYNTHETIC</x:v>
      </x:c>
    </x:row>
    <x:row r="148" ht="38" customHeight="1">
      <x:c r="A148" s="12" t="str">
        <x:v>KS-INJECTION-1000-B0144</x:v>
      </x:c>
      <x:c r="B148" s="14" t="n">
        <x:v>45316</x:v>
      </x:c>
      <x:c r="C148" s="12" t="str">
        <x:v>KS-INJECTION-1000-CIT-202401</x:v>
      </x:c>
      <x:c r="D148" s="12" t="str">
        <x:v>模拟税费账户</x:v>
      </x:c>
      <x:c r="E148" s="12" t="str">
        <x:v>所得税</x:v>
      </x:c>
      <x:c r="F148" s="13" t="n">
        <x:v>0</x:v>
      </x:c>
      <x:c r="G148" s="13" t="n">
        <x:v>203854</x:v>
      </x:c>
      <x:c r="H148" s="13" t="n">
        <x:v>4791562</x:v>
      </x:c>
      <x:c r="I148" s="12" t="str">
        <x:v>CNY</x:v>
      </x:c>
      <x:c r="J148" s="12" t="str">
        <x:v>SYNTHETIC</x:v>
      </x:c>
    </x:row>
    <x:row r="149" ht="38" customHeight="1">
      <x:c r="A149" s="12" t="str">
        <x:v>KS-INJECTION-1000-B0145</x:v>
      </x:c>
      <x:c r="B149" s="14" t="n">
        <x:v>45334</x:v>
      </x:c>
      <x:c r="C149" s="12" t="str">
        <x:v>KS-INJECTION-1000-S-202402-1</x:v>
      </x:c>
      <x:c r="D149" s="12" t="str">
        <x:v>模拟下游1</x:v>
      </x:c>
      <x:c r="E149" s="12" t="str">
        <x:v>销售回款</x:v>
      </x:c>
      <x:c r="F149" s="13" t="n">
        <x:v>1254767</x:v>
      </x:c>
      <x:c r="G149" s="13" t="n">
        <x:v>0</x:v>
      </x:c>
      <x:c r="H149" s="13" t="n">
        <x:v>6046329</x:v>
      </x:c>
      <x:c r="I149" s="12" t="str">
        <x:v>CNY</x:v>
      </x:c>
      <x:c r="J149" s="12" t="str">
        <x:v>SYNTHETIC</x:v>
      </x:c>
    </x:row>
    <x:row r="150" ht="38" customHeight="1">
      <x:c r="A150" s="12" t="str">
        <x:v>KS-INJECTION-1000-B0146</x:v>
      </x:c>
      <x:c r="B150" s="14" t="n">
        <x:v>45335</x:v>
      </x:c>
      <x:c r="C150" s="12" t="str">
        <x:v>KS-INJECTION-1000-S-202402-2</x:v>
      </x:c>
      <x:c r="D150" s="12" t="str">
        <x:v>模拟下游2</x:v>
      </x:c>
      <x:c r="E150" s="12" t="str">
        <x:v>销售回款</x:v>
      </x:c>
      <x:c r="F150" s="13" t="n">
        <x:v>1217862</x:v>
      </x:c>
      <x:c r="G150" s="13" t="n">
        <x:v>0</x:v>
      </x:c>
      <x:c r="H150" s="13" t="n">
        <x:v>7264191</x:v>
      </x:c>
      <x:c r="I150" s="12" t="str">
        <x:v>CNY</x:v>
      </x:c>
      <x:c r="J150" s="12" t="str">
        <x:v>SYNTHETIC</x:v>
      </x:c>
    </x:row>
    <x:row r="151" ht="38" customHeight="1">
      <x:c r="A151" s="12" t="str">
        <x:v>KS-INJECTION-1000-B0147</x:v>
      </x:c>
      <x:c r="B151" s="14" t="n">
        <x:v>45336</x:v>
      </x:c>
      <x:c r="C151" s="12" t="str">
        <x:v>KS-INJECTION-1000-S-202402-3</x:v>
      </x:c>
      <x:c r="D151" s="12" t="str">
        <x:v>模拟下游3</x:v>
      </x:c>
      <x:c r="E151" s="12" t="str">
        <x:v>销售回款</x:v>
      </x:c>
      <x:c r="F151" s="13" t="n">
        <x:v>1217861</x:v>
      </x:c>
      <x:c r="G151" s="13" t="n">
        <x:v>0</x:v>
      </x:c>
      <x:c r="H151" s="13" t="n">
        <x:v>8482052</x:v>
      </x:c>
      <x:c r="I151" s="12" t="str">
        <x:v>CNY</x:v>
      </x:c>
      <x:c r="J151" s="12" t="str">
        <x:v>SYNTHETIC</x:v>
      </x:c>
    </x:row>
    <x:row r="152" ht="38" customHeight="1">
      <x:c r="A152" s="12" t="str">
        <x:v>KS-INJECTION-1000-B0148</x:v>
      </x:c>
      <x:c r="B152" s="14" t="n">
        <x:v>45338</x:v>
      </x:c>
      <x:c r="C152" s="12" t="str">
        <x:v>KS-INJECTION-1000-P-202402-1</x:v>
      </x:c>
      <x:c r="D152" s="12" t="str">
        <x:v>模拟原料商1</x:v>
      </x:c>
      <x:c r="E152" s="12" t="str">
        <x:v>原料付款</x:v>
      </x:c>
      <x:c r="F152" s="13" t="n">
        <x:v>0</x:v>
      </x:c>
      <x:c r="G152" s="13" t="n">
        <x:v>952147</x:v>
      </x:c>
      <x:c r="H152" s="13" t="n">
        <x:v>7529905</x:v>
      </x:c>
      <x:c r="I152" s="12" t="str">
        <x:v>CNY</x:v>
      </x:c>
      <x:c r="J152" s="12" t="str">
        <x:v>SYNTHETIC</x:v>
      </x:c>
    </x:row>
    <x:row r="153" ht="38" customHeight="1">
      <x:c r="A153" s="12" t="str">
        <x:v>KS-INJECTION-1000-B0149</x:v>
      </x:c>
      <x:c r="B153" s="14" t="n">
        <x:v>45339</x:v>
      </x:c>
      <x:c r="C153" s="12" t="str">
        <x:v>KS-INJECTION-1000-P-202402-2</x:v>
      </x:c>
      <x:c r="D153" s="12" t="str">
        <x:v>模拟原料商2</x:v>
      </x:c>
      <x:c r="E153" s="12" t="str">
        <x:v>原料付款</x:v>
      </x:c>
      <x:c r="F153" s="13" t="n">
        <x:v>0</x:v>
      </x:c>
      <x:c r="G153" s="13" t="n">
        <x:v>634764</x:v>
      </x:c>
      <x:c r="H153" s="13" t="n">
        <x:v>6895141</x:v>
      </x:c>
      <x:c r="I153" s="12" t="str">
        <x:v>CNY</x:v>
      </x:c>
      <x:c r="J153" s="12" t="str">
        <x:v>SYNTHETIC</x:v>
      </x:c>
    </x:row>
    <x:row r="154" ht="38" customHeight="1">
      <x:c r="A154" s="12" t="str">
        <x:v>KS-INJECTION-1000-B0150</x:v>
      </x:c>
      <x:c r="B154" s="14" t="n">
        <x:v>45347</x:v>
      </x:c>
      <x:c r="C154" s="12" t="str">
        <x:v>KS-INJECTION-1000-PAY-202402</x:v>
      </x:c>
      <x:c r="D154" s="12" t="str">
        <x:v>模拟工资代发</x:v>
      </x:c>
      <x:c r="E154" s="12" t="str">
        <x:v>工资</x:v>
      </x:c>
      <x:c r="F154" s="13" t="n">
        <x:v>0</x:v>
      </x:c>
      <x:c r="G154" s="13" t="n">
        <x:v>520000</x:v>
      </x:c>
      <x:c r="H154" s="13" t="n">
        <x:v>6375141</x:v>
      </x:c>
      <x:c r="I154" s="12" t="str">
        <x:v>CNY</x:v>
      </x:c>
      <x:c r="J154" s="12" t="str">
        <x:v>SYNTHETIC</x:v>
      </x:c>
    </x:row>
    <x:row r="155" ht="38" customHeight="1">
      <x:c r="A155" s="12" t="str">
        <x:v>KS-INJECTION-1000-B0151</x:v>
      </x:c>
      <x:c r="B155" s="14" t="n">
        <x:v>45347</x:v>
      </x:c>
      <x:c r="C155" s="12" t="str">
        <x:v>KS-INJECTION-1000-ELEC-202402</x:v>
      </x:c>
      <x:c r="D155" s="12" t="str">
        <x:v>模拟供电结算</x:v>
      </x:c>
      <x:c r="E155" s="12" t="str">
        <x:v>电费</x:v>
      </x:c>
      <x:c r="F155" s="13" t="n">
        <x:v>0</x:v>
      </x:c>
      <x:c r="G155" s="13" t="n">
        <x:v>187200</x:v>
      </x:c>
      <x:c r="H155" s="13" t="n">
        <x:v>6187941</x:v>
      </x:c>
      <x:c r="I155" s="12" t="str">
        <x:v>CNY</x:v>
      </x:c>
      <x:c r="J155" s="12" t="str">
        <x:v>SYNTHETIC</x:v>
      </x:c>
    </x:row>
    <x:row r="156" ht="38" customHeight="1">
      <x:c r="A156" s="12" t="str">
        <x:v>KS-INJECTION-1000-B0152</x:v>
      </x:c>
      <x:c r="B156" s="14" t="n">
        <x:v>45347</x:v>
      </x:c>
      <x:c r="C156" s="12" t="str">
        <x:v>KS-INJECTION-1000-OPEX-202402</x:v>
      </x:c>
      <x:c r="D156" s="12" t="str">
        <x:v>模拟费用结算</x:v>
      </x:c>
      <x:c r="E156" s="12" t="str">
        <x:v>管理销售费用</x:v>
      </x:c>
      <x:c r="F156" s="13" t="n">
        <x:v>0</x:v>
      </x:c>
      <x:c r="G156" s="13" t="n">
        <x:v>320000</x:v>
      </x:c>
      <x:c r="H156" s="13" t="n">
        <x:v>5867941</x:v>
      </x:c>
      <x:c r="I156" s="12" t="str">
        <x:v>CNY</x:v>
      </x:c>
      <x:c r="J156" s="12" t="str">
        <x:v>SYNTHETIC</x:v>
      </x:c>
    </x:row>
    <x:row r="157" ht="38" customHeight="1">
      <x:c r="A157" s="12" t="str">
        <x:v>KS-INJECTION-1000-B0153</x:v>
      </x:c>
      <x:c r="B157" s="14" t="n">
        <x:v>45347</x:v>
      </x:c>
      <x:c r="C157" s="12" t="str">
        <x:v>KS-INJECTION-1000-INT-202402</x:v>
      </x:c>
      <x:c r="D157" s="12" t="str">
        <x:v>模拟融资机构</x:v>
      </x:c>
      <x:c r="E157" s="12" t="str">
        <x:v>利息</x:v>
      </x:c>
      <x:c r="F157" s="13" t="n">
        <x:v>0</x:v>
      </x:c>
      <x:c r="G157" s="13" t="n">
        <x:v>25000</x:v>
      </x:c>
      <x:c r="H157" s="13" t="n">
        <x:v>5842941</x:v>
      </x:c>
      <x:c r="I157" s="12" t="str">
        <x:v>CNY</x:v>
      </x:c>
      <x:c r="J157" s="12" t="str">
        <x:v>SYNTHETIC</x:v>
      </x:c>
    </x:row>
    <x:row r="158" ht="38" customHeight="1">
      <x:c r="A158" s="12" t="str">
        <x:v>KS-INJECTION-1000-B0154</x:v>
      </x:c>
      <x:c r="B158" s="14" t="n">
        <x:v>45347</x:v>
      </x:c>
      <x:c r="C158" s="12" t="str">
        <x:v>KS-INJECTION-1000-VAT-202402</x:v>
      </x:c>
      <x:c r="D158" s="12" t="str">
        <x:v>模拟税费账户</x:v>
      </x:c>
      <x:c r="E158" s="12" t="str">
        <x:v>增值税</x:v>
      </x:c>
      <x:c r="F158" s="13" t="n">
        <x:v>0</x:v>
      </x:c>
      <x:c r="G158" s="13" t="n">
        <x:v>242005</x:v>
      </x:c>
      <x:c r="H158" s="13" t="n">
        <x:v>5600936</x:v>
      </x:c>
      <x:c r="I158" s="12" t="str">
        <x:v>CNY</x:v>
      </x:c>
      <x:c r="J158" s="12" t="str">
        <x:v>SYNTHETIC</x:v>
      </x:c>
    </x:row>
    <x:row r="159" ht="38" customHeight="1">
      <x:c r="A159" s="12" t="str">
        <x:v>KS-INJECTION-1000-B0155</x:v>
      </x:c>
      <x:c r="B159" s="14" t="n">
        <x:v>45347</x:v>
      </x:c>
      <x:c r="C159" s="12" t="str">
        <x:v>KS-INJECTION-1000-CIT-202402</x:v>
      </x:c>
      <x:c r="D159" s="12" t="str">
        <x:v>模拟税费账户</x:v>
      </x:c>
      <x:c r="E159" s="12" t="str">
        <x:v>所得税</x:v>
      </x:c>
      <x:c r="F159" s="13" t="n">
        <x:v>0</x:v>
      </x:c>
      <x:c r="G159" s="13" t="n">
        <x:v>157344</x:v>
      </x:c>
      <x:c r="H159" s="13" t="n">
        <x:v>5443592</x:v>
      </x:c>
      <x:c r="I159" s="12" t="str">
        <x:v>CNY</x:v>
      </x:c>
      <x:c r="J159" s="12" t="str">
        <x:v>SYNTHETIC</x:v>
      </x:c>
    </x:row>
    <x:row r="160" ht="38" customHeight="1">
      <x:c r="A160" s="12" t="str">
        <x:v>KS-INJECTION-1000-B0156</x:v>
      </x:c>
      <x:c r="B160" s="14" t="n">
        <x:v>45363</x:v>
      </x:c>
      <x:c r="C160" s="12" t="str">
        <x:v>KS-INJECTION-1000-S-202403-1</x:v>
      </x:c>
      <x:c r="D160" s="12" t="str">
        <x:v>模拟下游1</x:v>
      </x:c>
      <x:c r="E160" s="12" t="str">
        <x:v>销售回款</x:v>
      </x:c>
      <x:c r="F160" s="13" t="n">
        <x:v>1777586</x:v>
      </x:c>
      <x:c r="G160" s="13" t="n">
        <x:v>0</x:v>
      </x:c>
      <x:c r="H160" s="13" t="n">
        <x:v>7221178</x:v>
      </x:c>
      <x:c r="I160" s="12" t="str">
        <x:v>CNY</x:v>
      </x:c>
      <x:c r="J160" s="12" t="str">
        <x:v>SYNTHETIC</x:v>
      </x:c>
    </x:row>
    <x:row r="161" ht="38" customHeight="1">
      <x:c r="A161" s="12" t="str">
        <x:v>KS-INJECTION-1000-B0157</x:v>
      </x:c>
      <x:c r="B161" s="14" t="n">
        <x:v>45364</x:v>
      </x:c>
      <x:c r="C161" s="12" t="str">
        <x:v>KS-INJECTION-1000-S-202403-2</x:v>
      </x:c>
      <x:c r="D161" s="12" t="str">
        <x:v>模拟下游2</x:v>
      </x:c>
      <x:c r="E161" s="12" t="str">
        <x:v>销售回款</x:v>
      </x:c>
      <x:c r="F161" s="13" t="n">
        <x:v>1725304</x:v>
      </x:c>
      <x:c r="G161" s="13" t="n">
        <x:v>0</x:v>
      </x:c>
      <x:c r="H161" s="13" t="n">
        <x:v>8946482</x:v>
      </x:c>
      <x:c r="I161" s="12" t="str">
        <x:v>CNY</x:v>
      </x:c>
      <x:c r="J161" s="12" t="str">
        <x:v>SYNTHETIC</x:v>
      </x:c>
    </x:row>
    <x:row r="162" ht="38" customHeight="1">
      <x:c r="A162" s="12" t="str">
        <x:v>KS-INJECTION-1000-B0158</x:v>
      </x:c>
      <x:c r="B162" s="14" t="n">
        <x:v>45365</x:v>
      </x:c>
      <x:c r="C162" s="12" t="str">
        <x:v>KS-INJECTION-1000-S-202403-3</x:v>
      </x:c>
      <x:c r="D162" s="12" t="str">
        <x:v>模拟下游3</x:v>
      </x:c>
      <x:c r="E162" s="12" t="str">
        <x:v>销售回款</x:v>
      </x:c>
      <x:c r="F162" s="13" t="n">
        <x:v>1725304</x:v>
      </x:c>
      <x:c r="G162" s="13" t="n">
        <x:v>0</x:v>
      </x:c>
      <x:c r="H162" s="13" t="n">
        <x:v>10671786</x:v>
      </x:c>
      <x:c r="I162" s="12" t="str">
        <x:v>CNY</x:v>
      </x:c>
      <x:c r="J162" s="12" t="str">
        <x:v>SYNTHETIC</x:v>
      </x:c>
    </x:row>
    <x:row r="163" ht="38" customHeight="1">
      <x:c r="A163" s="12" t="str">
        <x:v>KS-INJECTION-1000-B0159</x:v>
      </x:c>
      <x:c r="B163" s="14" t="n">
        <x:v>45367</x:v>
      </x:c>
      <x:c r="C163" s="12" t="str">
        <x:v>KS-INJECTION-1000-P-202403-1</x:v>
      </x:c>
      <x:c r="D163" s="12" t="str">
        <x:v>模拟原料商1</x:v>
      </x:c>
      <x:c r="E163" s="12" t="str">
        <x:v>原料付款</x:v>
      </x:c>
      <x:c r="F163" s="13" t="n">
        <x:v>0</x:v>
      </x:c>
      <x:c r="G163" s="13" t="n">
        <x:v>1348874</x:v>
      </x:c>
      <x:c r="H163" s="13" t="n">
        <x:v>9322912</x:v>
      </x:c>
      <x:c r="I163" s="12" t="str">
        <x:v>CNY</x:v>
      </x:c>
      <x:c r="J163" s="12" t="str">
        <x:v>SYNTHETIC</x:v>
      </x:c>
    </x:row>
    <x:row r="164" ht="38" customHeight="1">
      <x:c r="A164" s="12" t="str">
        <x:v>KS-INJECTION-1000-B0160</x:v>
      </x:c>
      <x:c r="B164" s="14" t="n">
        <x:v>45368</x:v>
      </x:c>
      <x:c r="C164" s="12" t="str">
        <x:v>KS-INJECTION-1000-P-202403-2</x:v>
      </x:c>
      <x:c r="D164" s="12" t="str">
        <x:v>模拟原料商2</x:v>
      </x:c>
      <x:c r="E164" s="12" t="str">
        <x:v>原料付款</x:v>
      </x:c>
      <x:c r="F164" s="13" t="n">
        <x:v>0</x:v>
      </x:c>
      <x:c r="G164" s="13" t="n">
        <x:v>899250</x:v>
      </x:c>
      <x:c r="H164" s="13" t="n">
        <x:v>8423662</x:v>
      </x:c>
      <x:c r="I164" s="12" t="str">
        <x:v>CNY</x:v>
      </x:c>
      <x:c r="J164" s="12" t="str">
        <x:v>SYNTHETIC</x:v>
      </x:c>
    </x:row>
    <x:row r="165" ht="38" customHeight="1">
      <x:c r="A165" s="12" t="str">
        <x:v>KS-INJECTION-1000-B0161</x:v>
      </x:c>
      <x:c r="B165" s="14" t="n">
        <x:v>45376</x:v>
      </x:c>
      <x:c r="C165" s="12" t="str">
        <x:v>KS-INJECTION-1000-PAY-202403</x:v>
      </x:c>
      <x:c r="D165" s="12" t="str">
        <x:v>模拟工资代发</x:v>
      </x:c>
      <x:c r="E165" s="12" t="str">
        <x:v>工资</x:v>
      </x:c>
      <x:c r="F165" s="13" t="n">
        <x:v>0</x:v>
      </x:c>
      <x:c r="G165" s="13" t="n">
        <x:v>520000</x:v>
      </x:c>
      <x:c r="H165" s="13" t="n">
        <x:v>7903662</x:v>
      </x:c>
      <x:c r="I165" s="12" t="str">
        <x:v>CNY</x:v>
      </x:c>
      <x:c r="J165" s="12" t="str">
        <x:v>SYNTHETIC</x:v>
      </x:c>
    </x:row>
    <x:row r="166" ht="38" customHeight="1">
      <x:c r="A166" s="12" t="str">
        <x:v>KS-INJECTION-1000-B0162</x:v>
      </x:c>
      <x:c r="B166" s="14" t="n">
        <x:v>45376</x:v>
      </x:c>
      <x:c r="C166" s="12" t="str">
        <x:v>KS-INJECTION-1000-ELEC-202403</x:v>
      </x:c>
      <x:c r="D166" s="12" t="str">
        <x:v>模拟供电结算</x:v>
      </x:c>
      <x:c r="E166" s="12" t="str">
        <x:v>电费</x:v>
      </x:c>
      <x:c r="F166" s="13" t="n">
        <x:v>0</x:v>
      </x:c>
      <x:c r="G166" s="13" t="n">
        <x:v>265200</x:v>
      </x:c>
      <x:c r="H166" s="13" t="n">
        <x:v>7638462</x:v>
      </x:c>
      <x:c r="I166" s="12" t="str">
        <x:v>CNY</x:v>
      </x:c>
      <x:c r="J166" s="12" t="str">
        <x:v>SYNTHETIC</x:v>
      </x:c>
    </x:row>
    <x:row r="167" ht="38" customHeight="1">
      <x:c r="A167" s="12" t="str">
        <x:v>KS-INJECTION-1000-B0163</x:v>
      </x:c>
      <x:c r="B167" s="14" t="n">
        <x:v>45376</x:v>
      </x:c>
      <x:c r="C167" s="12" t="str">
        <x:v>KS-INJECTION-1000-OPEX-202403</x:v>
      </x:c>
      <x:c r="D167" s="12" t="str">
        <x:v>模拟费用结算</x:v>
      </x:c>
      <x:c r="E167" s="12" t="str">
        <x:v>管理销售费用</x:v>
      </x:c>
      <x:c r="F167" s="13" t="n">
        <x:v>0</x:v>
      </x:c>
      <x:c r="G167" s="13" t="n">
        <x:v>320000</x:v>
      </x:c>
      <x:c r="H167" s="13" t="n">
        <x:v>7318462</x:v>
      </x:c>
      <x:c r="I167" s="12" t="str">
        <x:v>CNY</x:v>
      </x:c>
      <x:c r="J167" s="12" t="str">
        <x:v>SYNTHETIC</x:v>
      </x:c>
    </x:row>
    <x:row r="168" ht="38" customHeight="1">
      <x:c r="A168" s="12" t="str">
        <x:v>KS-INJECTION-1000-B0164</x:v>
      </x:c>
      <x:c r="B168" s="14" t="n">
        <x:v>45376</x:v>
      </x:c>
      <x:c r="C168" s="12" t="str">
        <x:v>KS-INJECTION-1000-INT-202403</x:v>
      </x:c>
      <x:c r="D168" s="12" t="str">
        <x:v>模拟融资机构</x:v>
      </x:c>
      <x:c r="E168" s="12" t="str">
        <x:v>利息</x:v>
      </x:c>
      <x:c r="F168" s="13" t="n">
        <x:v>0</x:v>
      </x:c>
      <x:c r="G168" s="13" t="n">
        <x:v>25000</x:v>
      </x:c>
      <x:c r="H168" s="13" t="n">
        <x:v>7293462</x:v>
      </x:c>
      <x:c r="I168" s="12" t="str">
        <x:v>CNY</x:v>
      </x:c>
      <x:c r="J168" s="12" t="str">
        <x:v>SYNTHETIC</x:v>
      </x:c>
    </x:row>
    <x:row r="169" ht="38" customHeight="1">
      <x:c r="A169" s="12" t="str">
        <x:v>KS-INJECTION-1000-B0165</x:v>
      </x:c>
      <x:c r="B169" s="14" t="n">
        <x:v>45376</x:v>
      </x:c>
      <x:c r="C169" s="12" t="str">
        <x:v>KS-INJECTION-1000-VAT-202403</x:v>
      </x:c>
      <x:c r="D169" s="12" t="str">
        <x:v>模拟税费账户</x:v>
      </x:c>
      <x:c r="E169" s="12" t="str">
        <x:v>增值税</x:v>
      </x:c>
      <x:c r="F169" s="13" t="n">
        <x:v>0</x:v>
      </x:c>
      <x:c r="G169" s="13" t="n">
        <x:v>342840</x:v>
      </x:c>
      <x:c r="H169" s="13" t="n">
        <x:v>6950622</x:v>
      </x:c>
      <x:c r="I169" s="12" t="str">
        <x:v>CNY</x:v>
      </x:c>
      <x:c r="J169" s="12" t="str">
        <x:v>SYNTHETIC</x:v>
      </x:c>
    </x:row>
    <x:row r="170" ht="38" customHeight="1">
      <x:c r="A170" s="12" t="str">
        <x:v>KS-INJECTION-1000-B0166</x:v>
      </x:c>
      <x:c r="B170" s="14" t="n">
        <x:v>45376</x:v>
      </x:c>
      <x:c r="C170" s="12" t="str">
        <x:v>KS-INJECTION-1000-CIT-202403</x:v>
      </x:c>
      <x:c r="D170" s="12" t="str">
        <x:v>模拟税费账户</x:v>
      </x:c>
      <x:c r="E170" s="12" t="str">
        <x:v>所得税</x:v>
      </x:c>
      <x:c r="F170" s="13" t="n">
        <x:v>0</x:v>
      </x:c>
      <x:c r="G170" s="13" t="n">
        <x:v>331758</x:v>
      </x:c>
      <x:c r="H170" s="13" t="n">
        <x:v>6618864</x:v>
      </x:c>
      <x:c r="I170" s="12" t="str">
        <x:v>CNY</x:v>
      </x:c>
      <x:c r="J170" s="12" t="str">
        <x:v>SYNTHETIC</x:v>
      </x:c>
    </x:row>
    <x:row r="171" ht="38" customHeight="1">
      <x:c r="A171" s="12" t="str">
        <x:v>KS-INJECTION-1000-B0167</x:v>
      </x:c>
      <x:c r="B171" s="14" t="n">
        <x:v>45394</x:v>
      </x:c>
      <x:c r="C171" s="12" t="str">
        <x:v>KS-INJECTION-1000-S-202404-1</x:v>
      </x:c>
      <x:c r="D171" s="12" t="str">
        <x:v>模拟下游1</x:v>
      </x:c>
      <x:c r="E171" s="12" t="str">
        <x:v>销售回款</x:v>
      </x:c>
      <x:c r="F171" s="13" t="n">
        <x:v>1847295</x:v>
      </x:c>
      <x:c r="G171" s="13" t="n">
        <x:v>0</x:v>
      </x:c>
      <x:c r="H171" s="13" t="n">
        <x:v>8466159</x:v>
      </x:c>
      <x:c r="I171" s="12" t="str">
        <x:v>CNY</x:v>
      </x:c>
      <x:c r="J171" s="12" t="str">
        <x:v>SYNTHETIC</x:v>
      </x:c>
    </x:row>
    <x:row r="172" ht="38" customHeight="1">
      <x:c r="A172" s="12" t="str">
        <x:v>KS-INJECTION-1000-B0168</x:v>
      </x:c>
      <x:c r="B172" s="14" t="n">
        <x:v>45395</x:v>
      </x:c>
      <x:c r="C172" s="12" t="str">
        <x:v>KS-INJECTION-1000-S-202404-2</x:v>
      </x:c>
      <x:c r="D172" s="12" t="str">
        <x:v>模拟下游2</x:v>
      </x:c>
      <x:c r="E172" s="12" t="str">
        <x:v>销售回款</x:v>
      </x:c>
      <x:c r="F172" s="13" t="n">
        <x:v>1792963</x:v>
      </x:c>
      <x:c r="G172" s="13" t="n">
        <x:v>0</x:v>
      </x:c>
      <x:c r="H172" s="13" t="n">
        <x:v>10259122</x:v>
      </x:c>
      <x:c r="I172" s="12" t="str">
        <x:v>CNY</x:v>
      </x:c>
      <x:c r="J172" s="12" t="str">
        <x:v>SYNTHETIC</x:v>
      </x:c>
    </x:row>
    <x:row r="173" ht="38" customHeight="1">
      <x:c r="A173" s="12" t="str">
        <x:v>KS-INJECTION-1000-B0169</x:v>
      </x:c>
      <x:c r="B173" s="14" t="n">
        <x:v>45396</x:v>
      </x:c>
      <x:c r="C173" s="12" t="str">
        <x:v>KS-INJECTION-1000-S-202404-3</x:v>
      </x:c>
      <x:c r="D173" s="12" t="str">
        <x:v>模拟下游3</x:v>
      </x:c>
      <x:c r="E173" s="12" t="str">
        <x:v>销售回款</x:v>
      </x:c>
      <x:c r="F173" s="13" t="n">
        <x:v>1792963</x:v>
      </x:c>
      <x:c r="G173" s="13" t="n">
        <x:v>0</x:v>
      </x:c>
      <x:c r="H173" s="13" t="n">
        <x:v>12052085</x:v>
      </x:c>
      <x:c r="I173" s="12" t="str">
        <x:v>CNY</x:v>
      </x:c>
      <x:c r="J173" s="12" t="str">
        <x:v>SYNTHETIC</x:v>
      </x:c>
    </x:row>
    <x:row r="174" ht="38" customHeight="1">
      <x:c r="A174" s="12" t="str">
        <x:v>KS-INJECTION-1000-B0170</x:v>
      </x:c>
      <x:c r="B174" s="14" t="n">
        <x:v>45398</x:v>
      </x:c>
      <x:c r="C174" s="12" t="str">
        <x:v>KS-INJECTION-1000-P-202404-1</x:v>
      </x:c>
      <x:c r="D174" s="12" t="str">
        <x:v>模拟原料商1</x:v>
      </x:c>
      <x:c r="E174" s="12" t="str">
        <x:v>原料付款</x:v>
      </x:c>
      <x:c r="F174" s="13" t="n">
        <x:v>0</x:v>
      </x:c>
      <x:c r="G174" s="13" t="n">
        <x:v>1401771</x:v>
      </x:c>
      <x:c r="H174" s="13" t="n">
        <x:v>10650314</x:v>
      </x:c>
      <x:c r="I174" s="12" t="str">
        <x:v>CNY</x:v>
      </x:c>
      <x:c r="J174" s="12" t="str">
        <x:v>SYNTHETIC</x:v>
      </x:c>
    </x:row>
    <x:row r="175" ht="38" customHeight="1">
      <x:c r="A175" s="12" t="str">
        <x:v>KS-INJECTION-1000-B0171</x:v>
      </x:c>
      <x:c r="B175" s="14" t="n">
        <x:v>45399</x:v>
      </x:c>
      <x:c r="C175" s="12" t="str">
        <x:v>KS-INJECTION-1000-P-202404-2</x:v>
      </x:c>
      <x:c r="D175" s="12" t="str">
        <x:v>模拟原料商2</x:v>
      </x:c>
      <x:c r="E175" s="12" t="str">
        <x:v>原料付款</x:v>
      </x:c>
      <x:c r="F175" s="13" t="n">
        <x:v>0</x:v>
      </x:c>
      <x:c r="G175" s="13" t="n">
        <x:v>934514</x:v>
      </x:c>
      <x:c r="H175" s="13" t="n">
        <x:v>9715800</x:v>
      </x:c>
      <x:c r="I175" s="12" t="str">
        <x:v>CNY</x:v>
      </x:c>
      <x:c r="J175" s="12" t="str">
        <x:v>SYNTHETIC</x:v>
      </x:c>
    </x:row>
    <x:row r="176" ht="38" customHeight="1">
      <x:c r="A176" s="12" t="str">
        <x:v>KS-INJECTION-1000-B0172</x:v>
      </x:c>
      <x:c r="B176" s="14" t="n">
        <x:v>45407</x:v>
      </x:c>
      <x:c r="C176" s="12" t="str">
        <x:v>KS-INJECTION-1000-PAY-202404</x:v>
      </x:c>
      <x:c r="D176" s="12" t="str">
        <x:v>模拟工资代发</x:v>
      </x:c>
      <x:c r="E176" s="12" t="str">
        <x:v>工资</x:v>
      </x:c>
      <x:c r="F176" s="13" t="n">
        <x:v>0</x:v>
      </x:c>
      <x:c r="G176" s="13" t="n">
        <x:v>520000</x:v>
      </x:c>
      <x:c r="H176" s="13" t="n">
        <x:v>9195800</x:v>
      </x:c>
      <x:c r="I176" s="12" t="str">
        <x:v>CNY</x:v>
      </x:c>
      <x:c r="J176" s="12" t="str">
        <x:v>SYNTHETIC</x:v>
      </x:c>
    </x:row>
    <x:row r="177" ht="38" customHeight="1">
      <x:c r="A177" s="12" t="str">
        <x:v>KS-INJECTION-1000-B0173</x:v>
      </x:c>
      <x:c r="B177" s="14" t="n">
        <x:v>45407</x:v>
      </x:c>
      <x:c r="C177" s="12" t="str">
        <x:v>KS-INJECTION-1000-ELEC-202404</x:v>
      </x:c>
      <x:c r="D177" s="12" t="str">
        <x:v>模拟供电结算</x:v>
      </x:c>
      <x:c r="E177" s="12" t="str">
        <x:v>电费</x:v>
      </x:c>
      <x:c r="F177" s="13" t="n">
        <x:v>0</x:v>
      </x:c>
      <x:c r="G177" s="13" t="n">
        <x:v>275600</x:v>
      </x:c>
      <x:c r="H177" s="13" t="n">
        <x:v>8920200</x:v>
      </x:c>
      <x:c r="I177" s="12" t="str">
        <x:v>CNY</x:v>
      </x:c>
      <x:c r="J177" s="12" t="str">
        <x:v>SYNTHETIC</x:v>
      </x:c>
    </x:row>
    <x:row r="178" ht="38" customHeight="1">
      <x:c r="A178" s="12" t="str">
        <x:v>KS-INJECTION-1000-B0174</x:v>
      </x:c>
      <x:c r="B178" s="14" t="n">
        <x:v>45407</x:v>
      </x:c>
      <x:c r="C178" s="12" t="str">
        <x:v>KS-INJECTION-1000-OPEX-202404</x:v>
      </x:c>
      <x:c r="D178" s="12" t="str">
        <x:v>模拟费用结算</x:v>
      </x:c>
      <x:c r="E178" s="12" t="str">
        <x:v>管理销售费用</x:v>
      </x:c>
      <x:c r="F178" s="13" t="n">
        <x:v>0</x:v>
      </x:c>
      <x:c r="G178" s="13" t="n">
        <x:v>320000</x:v>
      </x:c>
      <x:c r="H178" s="13" t="n">
        <x:v>8600200</x:v>
      </x:c>
      <x:c r="I178" s="12" t="str">
        <x:v>CNY</x:v>
      </x:c>
      <x:c r="J178" s="12" t="str">
        <x:v>SYNTHETIC</x:v>
      </x:c>
    </x:row>
    <x:row r="179" ht="38" customHeight="1">
      <x:c r="A179" s="12" t="str">
        <x:v>KS-INJECTION-1000-B0175</x:v>
      </x:c>
      <x:c r="B179" s="14" t="n">
        <x:v>45407</x:v>
      </x:c>
      <x:c r="C179" s="12" t="str">
        <x:v>KS-INJECTION-1000-INT-202404</x:v>
      </x:c>
      <x:c r="D179" s="12" t="str">
        <x:v>模拟融资机构</x:v>
      </x:c>
      <x:c r="E179" s="12" t="str">
        <x:v>利息</x:v>
      </x:c>
      <x:c r="F179" s="13" t="n">
        <x:v>0</x:v>
      </x:c>
      <x:c r="G179" s="13" t="n">
        <x:v>25000</x:v>
      </x:c>
      <x:c r="H179" s="13" t="n">
        <x:v>8575200</x:v>
      </x:c>
      <x:c r="I179" s="12" t="str">
        <x:v>CNY</x:v>
      </x:c>
      <x:c r="J179" s="12" t="str">
        <x:v>SYNTHETIC</x:v>
      </x:c>
    </x:row>
    <x:row r="180" ht="38" customHeight="1">
      <x:c r="A180" s="12" t="str">
        <x:v>KS-INJECTION-1000-B0176</x:v>
      </x:c>
      <x:c r="B180" s="14" t="n">
        <x:v>45407</x:v>
      </x:c>
      <x:c r="C180" s="12" t="str">
        <x:v>KS-INJECTION-1000-VAT-202404</x:v>
      </x:c>
      <x:c r="D180" s="12" t="str">
        <x:v>模拟税费账户</x:v>
      </x:c>
      <x:c r="E180" s="12" t="str">
        <x:v>增值税</x:v>
      </x:c>
      <x:c r="F180" s="13" t="n">
        <x:v>0</x:v>
      </x:c>
      <x:c r="G180" s="13" t="n">
        <x:v>356285</x:v>
      </x:c>
      <x:c r="H180" s="13" t="n">
        <x:v>8218915</x:v>
      </x:c>
      <x:c r="I180" s="12" t="str">
        <x:v>CNY</x:v>
      </x:c>
      <x:c r="J180" s="12" t="str">
        <x:v>SYNTHETIC</x:v>
      </x:c>
    </x:row>
    <x:row r="181" ht="38" customHeight="1">
      <x:c r="A181" s="12" t="str">
        <x:v>KS-INJECTION-1000-B0177</x:v>
      </x:c>
      <x:c r="B181" s="14" t="n">
        <x:v>45407</x:v>
      </x:c>
      <x:c r="C181" s="12" t="str">
        <x:v>KS-INJECTION-1000-CIT-202404</x:v>
      </x:c>
      <x:c r="D181" s="12" t="str">
        <x:v>模拟税费账户</x:v>
      </x:c>
      <x:c r="E181" s="12" t="str">
        <x:v>所得税</x:v>
      </x:c>
      <x:c r="F181" s="13" t="n">
        <x:v>0</x:v>
      </x:c>
      <x:c r="G181" s="13" t="n">
        <x:v>355013</x:v>
      </x:c>
      <x:c r="H181" s="13" t="n">
        <x:v>7863902</x:v>
      </x:c>
      <x:c r="I181" s="12" t="str">
        <x:v>CNY</x:v>
      </x:c>
      <x:c r="J181" s="12" t="str">
        <x:v>SYNTHETIC</x:v>
      </x:c>
    </x:row>
    <x:row r="182" ht="38" customHeight="1">
      <x:c r="A182" s="12" t="str">
        <x:v>KS-INJECTION-1000-B0178</x:v>
      </x:c>
      <x:c r="B182" s="14" t="n">
        <x:v>45424</x:v>
      </x:c>
      <x:c r="C182" s="12" t="str">
        <x:v>KS-INJECTION-1000-S-202405-1</x:v>
      </x:c>
      <x:c r="D182" s="12" t="str">
        <x:v>模拟下游1</x:v>
      </x:c>
      <x:c r="E182" s="12" t="str">
        <x:v>销售回款</x:v>
      </x:c>
      <x:c r="F182" s="13" t="n">
        <x:v>1917004</x:v>
      </x:c>
      <x:c r="G182" s="13" t="n">
        <x:v>0</x:v>
      </x:c>
      <x:c r="H182" s="13" t="n">
        <x:v>9780906</x:v>
      </x:c>
      <x:c r="I182" s="12" t="str">
        <x:v>CNY</x:v>
      </x:c>
      <x:c r="J182" s="12" t="str">
        <x:v>SYNTHETIC</x:v>
      </x:c>
    </x:row>
    <x:row r="183" ht="38" customHeight="1">
      <x:c r="A183" s="12" t="str">
        <x:v>KS-INJECTION-1000-B0179</x:v>
      </x:c>
      <x:c r="B183" s="14" t="n">
        <x:v>45425</x:v>
      </x:c>
      <x:c r="C183" s="12" t="str">
        <x:v>KS-INJECTION-1000-S-202405-2</x:v>
      </x:c>
      <x:c r="D183" s="12" t="str">
        <x:v>模拟下游2</x:v>
      </x:c>
      <x:c r="E183" s="12" t="str">
        <x:v>销售回款</x:v>
      </x:c>
      <x:c r="F183" s="13" t="n">
        <x:v>1860622</x:v>
      </x:c>
      <x:c r="G183" s="13" t="n">
        <x:v>0</x:v>
      </x:c>
      <x:c r="H183" s="13" t="n">
        <x:v>11641528</x:v>
      </x:c>
      <x:c r="I183" s="12" t="str">
        <x:v>CNY</x:v>
      </x:c>
      <x:c r="J183" s="12" t="str">
        <x:v>SYNTHETIC</x:v>
      </x:c>
    </x:row>
    <x:row r="184" ht="38" customHeight="1">
      <x:c r="A184" s="12" t="str">
        <x:v>KS-INJECTION-1000-B0180</x:v>
      </x:c>
      <x:c r="B184" s="14" t="n">
        <x:v>45426</x:v>
      </x:c>
      <x:c r="C184" s="12" t="str">
        <x:v>KS-INJECTION-1000-S-202405-3</x:v>
      </x:c>
      <x:c r="D184" s="12" t="str">
        <x:v>模拟下游3</x:v>
      </x:c>
      <x:c r="E184" s="12" t="str">
        <x:v>销售回款</x:v>
      </x:c>
      <x:c r="F184" s="13" t="n">
        <x:v>1860622</x:v>
      </x:c>
      <x:c r="G184" s="13" t="n">
        <x:v>0</x:v>
      </x:c>
      <x:c r="H184" s="13" t="n">
        <x:v>13502150</x:v>
      </x:c>
      <x:c r="I184" s="12" t="str">
        <x:v>CNY</x:v>
      </x:c>
      <x:c r="J184" s="12" t="str">
        <x:v>SYNTHETIC</x:v>
      </x:c>
    </x:row>
    <x:row r="185" ht="38" customHeight="1">
      <x:c r="A185" s="12" t="str">
        <x:v>KS-INJECTION-1000-B0181</x:v>
      </x:c>
      <x:c r="B185" s="14" t="n">
        <x:v>45428</x:v>
      </x:c>
      <x:c r="C185" s="12" t="str">
        <x:v>KS-INJECTION-1000-P-202405-1</x:v>
      </x:c>
      <x:c r="D185" s="12" t="str">
        <x:v>模拟原料商1</x:v>
      </x:c>
      <x:c r="E185" s="12" t="str">
        <x:v>原料付款</x:v>
      </x:c>
      <x:c r="F185" s="13" t="n">
        <x:v>0</x:v>
      </x:c>
      <x:c r="G185" s="13" t="n">
        <x:v>1454668</x:v>
      </x:c>
      <x:c r="H185" s="13" t="n">
        <x:v>12047482</x:v>
      </x:c>
      <x:c r="I185" s="12" t="str">
        <x:v>CNY</x:v>
      </x:c>
      <x:c r="J185" s="12" t="str">
        <x:v>SYNTHETIC</x:v>
      </x:c>
    </x:row>
    <x:row r="186" ht="38" customHeight="1">
      <x:c r="A186" s="12" t="str">
        <x:v>KS-INJECTION-1000-B0182</x:v>
      </x:c>
      <x:c r="B186" s="14" t="n">
        <x:v>45429</x:v>
      </x:c>
      <x:c r="C186" s="12" t="str">
        <x:v>KS-INJECTION-1000-P-202405-2</x:v>
      </x:c>
      <x:c r="D186" s="12" t="str">
        <x:v>模拟原料商2</x:v>
      </x:c>
      <x:c r="E186" s="12" t="str">
        <x:v>原料付款</x:v>
      </x:c>
      <x:c r="F186" s="13" t="n">
        <x:v>0</x:v>
      </x:c>
      <x:c r="G186" s="13" t="n">
        <x:v>969779</x:v>
      </x:c>
      <x:c r="H186" s="13" t="n">
        <x:v>11077703</x:v>
      </x:c>
      <x:c r="I186" s="12" t="str">
        <x:v>CNY</x:v>
      </x:c>
      <x:c r="J186" s="12" t="str">
        <x:v>SYNTHETIC</x:v>
      </x:c>
    </x:row>
    <x:row r="187" ht="38" customHeight="1">
      <x:c r="A187" s="12" t="str">
        <x:v>KS-INJECTION-1000-B0183</x:v>
      </x:c>
      <x:c r="B187" s="14" t="n">
        <x:v>45437</x:v>
      </x:c>
      <x:c r="C187" s="12" t="str">
        <x:v>KS-INJECTION-1000-PAY-202405</x:v>
      </x:c>
      <x:c r="D187" s="12" t="str">
        <x:v>模拟工资代发</x:v>
      </x:c>
      <x:c r="E187" s="12" t="str">
        <x:v>工资</x:v>
      </x:c>
      <x:c r="F187" s="13" t="n">
        <x:v>0</x:v>
      </x:c>
      <x:c r="G187" s="13" t="n">
        <x:v>520000</x:v>
      </x:c>
      <x:c r="H187" s="13" t="n">
        <x:v>10557703</x:v>
      </x:c>
      <x:c r="I187" s="12" t="str">
        <x:v>CNY</x:v>
      </x:c>
      <x:c r="J187" s="12" t="str">
        <x:v>SYNTHETIC</x:v>
      </x:c>
    </x:row>
    <x:row r="188" ht="38" customHeight="1">
      <x:c r="A188" s="12" t="str">
        <x:v>KS-INJECTION-1000-B0184</x:v>
      </x:c>
      <x:c r="B188" s="14" t="n">
        <x:v>45437</x:v>
      </x:c>
      <x:c r="C188" s="12" t="str">
        <x:v>KS-INJECTION-1000-ELEC-202405</x:v>
      </x:c>
      <x:c r="D188" s="12" t="str">
        <x:v>模拟供电结算</x:v>
      </x:c>
      <x:c r="E188" s="12" t="str">
        <x:v>电费</x:v>
      </x:c>
      <x:c r="F188" s="13" t="n">
        <x:v>0</x:v>
      </x:c>
      <x:c r="G188" s="13" t="n">
        <x:v>286000</x:v>
      </x:c>
      <x:c r="H188" s="13" t="n">
        <x:v>10271703</x:v>
      </x:c>
      <x:c r="I188" s="12" t="str">
        <x:v>CNY</x:v>
      </x:c>
      <x:c r="J188" s="12" t="str">
        <x:v>SYNTHETIC</x:v>
      </x:c>
    </x:row>
    <x:row r="189" ht="38" customHeight="1">
      <x:c r="A189" s="12" t="str">
        <x:v>KS-INJECTION-1000-B0185</x:v>
      </x:c>
      <x:c r="B189" s="14" t="n">
        <x:v>45437</x:v>
      </x:c>
      <x:c r="C189" s="12" t="str">
        <x:v>KS-INJECTION-1000-OPEX-202405</x:v>
      </x:c>
      <x:c r="D189" s="12" t="str">
        <x:v>模拟费用结算</x:v>
      </x:c>
      <x:c r="E189" s="12" t="str">
        <x:v>管理销售费用</x:v>
      </x:c>
      <x:c r="F189" s="13" t="n">
        <x:v>0</x:v>
      </x:c>
      <x:c r="G189" s="13" t="n">
        <x:v>320000</x:v>
      </x:c>
      <x:c r="H189" s="13" t="n">
        <x:v>9951703</x:v>
      </x:c>
      <x:c r="I189" s="12" t="str">
        <x:v>CNY</x:v>
      </x:c>
      <x:c r="J189" s="12" t="str">
        <x:v>SYNTHETIC</x:v>
      </x:c>
    </x:row>
    <x:row r="190" ht="38" customHeight="1">
      <x:c r="A190" s="12" t="str">
        <x:v>KS-INJECTION-1000-B0186</x:v>
      </x:c>
      <x:c r="B190" s="14" t="n">
        <x:v>45437</x:v>
      </x:c>
      <x:c r="C190" s="12" t="str">
        <x:v>KS-INJECTION-1000-INT-202405</x:v>
      </x:c>
      <x:c r="D190" s="12" t="str">
        <x:v>模拟融资机构</x:v>
      </x:c>
      <x:c r="E190" s="12" t="str">
        <x:v>利息</x:v>
      </x:c>
      <x:c r="F190" s="13" t="n">
        <x:v>0</x:v>
      </x:c>
      <x:c r="G190" s="13" t="n">
        <x:v>25000</x:v>
      </x:c>
      <x:c r="H190" s="13" t="n">
        <x:v>9926703</x:v>
      </x:c>
      <x:c r="I190" s="12" t="str">
        <x:v>CNY</x:v>
      </x:c>
      <x:c r="J190" s="12" t="str">
        <x:v>SYNTHETIC</x:v>
      </x:c>
    </x:row>
    <x:row r="191" ht="38" customHeight="1">
      <x:c r="A191" s="12" t="str">
        <x:v>KS-INJECTION-1000-B0187</x:v>
      </x:c>
      <x:c r="B191" s="14" t="n">
        <x:v>45437</x:v>
      </x:c>
      <x:c r="C191" s="12" t="str">
        <x:v>KS-INJECTION-1000-VAT-202405</x:v>
      </x:c>
      <x:c r="D191" s="12" t="str">
        <x:v>模拟税费账户</x:v>
      </x:c>
      <x:c r="E191" s="12" t="str">
        <x:v>增值税</x:v>
      </x:c>
      <x:c r="F191" s="13" t="n">
        <x:v>0</x:v>
      </x:c>
      <x:c r="G191" s="13" t="n">
        <x:v>369729</x:v>
      </x:c>
      <x:c r="H191" s="13" t="n">
        <x:v>9556974</x:v>
      </x:c>
      <x:c r="I191" s="12" t="str">
        <x:v>CNY</x:v>
      </x:c>
      <x:c r="J191" s="12" t="str">
        <x:v>SYNTHETIC</x:v>
      </x:c>
    </x:row>
    <x:row r="192" ht="38" customHeight="1">
      <x:c r="A192" s="12" t="str">
        <x:v>KS-INJECTION-1000-B0188</x:v>
      </x:c>
      <x:c r="B192" s="14" t="n">
        <x:v>45437</x:v>
      </x:c>
      <x:c r="C192" s="12" t="str">
        <x:v>KS-INJECTION-1000-CIT-202405</x:v>
      </x:c>
      <x:c r="D192" s="12" t="str">
        <x:v>模拟税费账户</x:v>
      </x:c>
      <x:c r="E192" s="12" t="str">
        <x:v>所得税</x:v>
      </x:c>
      <x:c r="F192" s="13" t="n">
        <x:v>0</x:v>
      </x:c>
      <x:c r="G192" s="13" t="n">
        <x:v>378268</x:v>
      </x:c>
      <x:c r="H192" s="13" t="n">
        <x:v>9178706</x:v>
      </x:c>
      <x:c r="I192" s="12" t="str">
        <x:v>CNY</x:v>
      </x:c>
      <x:c r="J192" s="12" t="str">
        <x:v>SYNTHETIC</x:v>
      </x:c>
    </x:row>
    <x:row r="193" ht="38" customHeight="1">
      <x:c r="A193" s="12" t="str">
        <x:v>KS-INJECTION-1000-B0189</x:v>
      </x:c>
      <x:c r="B193" s="14" t="n">
        <x:v>45455</x:v>
      </x:c>
      <x:c r="C193" s="12" t="str">
        <x:v>KS-INJECTION-1000-S-202406-1</x:v>
      </x:c>
      <x:c r="D193" s="12" t="str">
        <x:v>模拟下游1</x:v>
      </x:c>
      <x:c r="E193" s="12" t="str">
        <x:v>销售回款</x:v>
      </x:c>
      <x:c r="F193" s="13" t="n">
        <x:v>1829868</x:v>
      </x:c>
      <x:c r="G193" s="13" t="n">
        <x:v>0</x:v>
      </x:c>
      <x:c r="H193" s="13" t="n">
        <x:v>11008574</x:v>
      </x:c>
      <x:c r="I193" s="12" t="str">
        <x:v>CNY</x:v>
      </x:c>
      <x:c r="J193" s="12" t="str">
        <x:v>SYNTHETIC</x:v>
      </x:c>
    </x:row>
    <x:row r="194" ht="38" customHeight="1">
      <x:c r="A194" s="12" t="str">
        <x:v>KS-INJECTION-1000-B0190</x:v>
      </x:c>
      <x:c r="B194" s="14" t="n">
        <x:v>45456</x:v>
      </x:c>
      <x:c r="C194" s="12" t="str">
        <x:v>KS-INJECTION-1000-S-202406-2</x:v>
      </x:c>
      <x:c r="D194" s="12" t="str">
        <x:v>模拟下游2</x:v>
      </x:c>
      <x:c r="E194" s="12" t="str">
        <x:v>销售回款</x:v>
      </x:c>
      <x:c r="F194" s="13" t="n">
        <x:v>1776048</x:v>
      </x:c>
      <x:c r="G194" s="13" t="n">
        <x:v>0</x:v>
      </x:c>
      <x:c r="H194" s="13" t="n">
        <x:v>12784622</x:v>
      </x:c>
      <x:c r="I194" s="12" t="str">
        <x:v>CNY</x:v>
      </x:c>
      <x:c r="J194" s="12" t="str">
        <x:v>SYNTHETIC</x:v>
      </x:c>
    </x:row>
    <x:row r="195" ht="38" customHeight="1">
      <x:c r="A195" s="12" t="str">
        <x:v>KS-INJECTION-1000-B0191</x:v>
      </x:c>
      <x:c r="B195" s="14" t="n">
        <x:v>45457</x:v>
      </x:c>
      <x:c r="C195" s="12" t="str">
        <x:v>KS-INJECTION-1000-S-202406-3</x:v>
      </x:c>
      <x:c r="D195" s="12" t="str">
        <x:v>模拟下游3</x:v>
      </x:c>
      <x:c r="E195" s="12" t="str">
        <x:v>销售回款</x:v>
      </x:c>
      <x:c r="F195" s="13" t="n">
        <x:v>1776048</x:v>
      </x:c>
      <x:c r="G195" s="13" t="n">
        <x:v>0</x:v>
      </x:c>
      <x:c r="H195" s="13" t="n">
        <x:v>14560670</x:v>
      </x:c>
      <x:c r="I195" s="12" t="str">
        <x:v>CNY</x:v>
      </x:c>
      <x:c r="J195" s="12" t="str">
        <x:v>SYNTHETIC</x:v>
      </x:c>
    </x:row>
    <x:row r="196" ht="38" customHeight="1">
      <x:c r="A196" s="12" t="str">
        <x:v>KS-INJECTION-1000-B0192</x:v>
      </x:c>
      <x:c r="B196" s="14" t="n">
        <x:v>45459</x:v>
      </x:c>
      <x:c r="C196" s="12" t="str">
        <x:v>KS-INJECTION-1000-P-202406-1</x:v>
      </x:c>
      <x:c r="D196" s="12" t="str">
        <x:v>模拟原料商1</x:v>
      </x:c>
      <x:c r="E196" s="12" t="str">
        <x:v>原料付款</x:v>
      </x:c>
      <x:c r="F196" s="13" t="n">
        <x:v>0</x:v>
      </x:c>
      <x:c r="G196" s="13" t="n">
        <x:v>1388547</x:v>
      </x:c>
      <x:c r="H196" s="13" t="n">
        <x:v>13172123</x:v>
      </x:c>
      <x:c r="I196" s="12" t="str">
        <x:v>CNY</x:v>
      </x:c>
      <x:c r="J196" s="12" t="str">
        <x:v>SYNTHETIC</x:v>
      </x:c>
    </x:row>
    <x:row r="197" ht="38" customHeight="1">
      <x:c r="A197" s="12" t="str">
        <x:v>KS-INJECTION-1000-B0193</x:v>
      </x:c>
      <x:c r="B197" s="14" t="n">
        <x:v>45460</x:v>
      </x:c>
      <x:c r="C197" s="12" t="str">
        <x:v>KS-INJECTION-1000-P-202406-2</x:v>
      </x:c>
      <x:c r="D197" s="12" t="str">
        <x:v>模拟原料商2</x:v>
      </x:c>
      <x:c r="E197" s="12" t="str">
        <x:v>原料付款</x:v>
      </x:c>
      <x:c r="F197" s="13" t="n">
        <x:v>0</x:v>
      </x:c>
      <x:c r="G197" s="13" t="n">
        <x:v>925698</x:v>
      </x:c>
      <x:c r="H197" s="13" t="n">
        <x:v>12246425</x:v>
      </x:c>
      <x:c r="I197" s="12" t="str">
        <x:v>CNY</x:v>
      </x:c>
      <x:c r="J197" s="12" t="str">
        <x:v>SYNTHETIC</x:v>
      </x:c>
    </x:row>
    <x:row r="198" ht="38" customHeight="1">
      <x:c r="A198" s="12" t="str">
        <x:v>KS-INJECTION-1000-B0194</x:v>
      </x:c>
      <x:c r="B198" s="14" t="n">
        <x:v>45468</x:v>
      </x:c>
      <x:c r="C198" s="12" t="str">
        <x:v>KS-INJECTION-1000-PAY-202406</x:v>
      </x:c>
      <x:c r="D198" s="12" t="str">
        <x:v>模拟工资代发</x:v>
      </x:c>
      <x:c r="E198" s="12" t="str">
        <x:v>工资</x:v>
      </x:c>
      <x:c r="F198" s="13" t="n">
        <x:v>0</x:v>
      </x:c>
      <x:c r="G198" s="13" t="n">
        <x:v>520000</x:v>
      </x:c>
      <x:c r="H198" s="13" t="n">
        <x:v>11726425</x:v>
      </x:c>
      <x:c r="I198" s="12" t="str">
        <x:v>CNY</x:v>
      </x:c>
      <x:c r="J198" s="12" t="str">
        <x:v>SYNTHETIC</x:v>
      </x:c>
    </x:row>
    <x:row r="199" ht="38" customHeight="1">
      <x:c r="A199" s="12" t="str">
        <x:v>KS-INJECTION-1000-B0195</x:v>
      </x:c>
      <x:c r="B199" s="14" t="n">
        <x:v>45468</x:v>
      </x:c>
      <x:c r="C199" s="12" t="str">
        <x:v>KS-INJECTION-1000-ELEC-202406</x:v>
      </x:c>
      <x:c r="D199" s="12" t="str">
        <x:v>模拟供电结算</x:v>
      </x:c>
      <x:c r="E199" s="12" t="str">
        <x:v>电费</x:v>
      </x:c>
      <x:c r="F199" s="13" t="n">
        <x:v>0</x:v>
      </x:c>
      <x:c r="G199" s="13" t="n">
        <x:v>273000</x:v>
      </x:c>
      <x:c r="H199" s="13" t="n">
        <x:v>11453425</x:v>
      </x:c>
      <x:c r="I199" s="12" t="str">
        <x:v>CNY</x:v>
      </x:c>
      <x:c r="J199" s="12" t="str">
        <x:v>SYNTHETIC</x:v>
      </x:c>
    </x:row>
    <x:row r="200" ht="38" customHeight="1">
      <x:c r="A200" s="12" t="str">
        <x:v>KS-INJECTION-1000-B0196</x:v>
      </x:c>
      <x:c r="B200" s="14" t="n">
        <x:v>45468</x:v>
      </x:c>
      <x:c r="C200" s="12" t="str">
        <x:v>KS-INJECTION-1000-OPEX-202406</x:v>
      </x:c>
      <x:c r="D200" s="12" t="str">
        <x:v>模拟费用结算</x:v>
      </x:c>
      <x:c r="E200" s="12" t="str">
        <x:v>管理销售费用</x:v>
      </x:c>
      <x:c r="F200" s="13" t="n">
        <x:v>0</x:v>
      </x:c>
      <x:c r="G200" s="13" t="n">
        <x:v>320000</x:v>
      </x:c>
      <x:c r="H200" s="13" t="n">
        <x:v>11133425</x:v>
      </x:c>
      <x:c r="I200" s="12" t="str">
        <x:v>CNY</x:v>
      </x:c>
      <x:c r="J200" s="12" t="str">
        <x:v>SYNTHETIC</x:v>
      </x:c>
    </x:row>
    <x:row r="201" ht="38" customHeight="1">
      <x:c r="A201" s="12" t="str">
        <x:v>KS-INJECTION-1000-B0197</x:v>
      </x:c>
      <x:c r="B201" s="14" t="n">
        <x:v>45468</x:v>
      </x:c>
      <x:c r="C201" s="12" t="str">
        <x:v>KS-INJECTION-1000-INT-202406</x:v>
      </x:c>
      <x:c r="D201" s="12" t="str">
        <x:v>模拟融资机构</x:v>
      </x:c>
      <x:c r="E201" s="12" t="str">
        <x:v>利息</x:v>
      </x:c>
      <x:c r="F201" s="13" t="n">
        <x:v>0</x:v>
      </x:c>
      <x:c r="G201" s="13" t="n">
        <x:v>25000</x:v>
      </x:c>
      <x:c r="H201" s="13" t="n">
        <x:v>11108425</x:v>
      </x:c>
      <x:c r="I201" s="12" t="str">
        <x:v>CNY</x:v>
      </x:c>
      <x:c r="J201" s="12" t="str">
        <x:v>SYNTHETIC</x:v>
      </x:c>
    </x:row>
    <x:row r="202" ht="38" customHeight="1">
      <x:c r="A202" s="12" t="str">
        <x:v>KS-INJECTION-1000-B0198</x:v>
      </x:c>
      <x:c r="B202" s="14" t="n">
        <x:v>45468</x:v>
      </x:c>
      <x:c r="C202" s="12" t="str">
        <x:v>KS-INJECTION-1000-VAT-202406</x:v>
      </x:c>
      <x:c r="D202" s="12" t="str">
        <x:v>模拟税费账户</x:v>
      </x:c>
      <x:c r="E202" s="12" t="str">
        <x:v>增值税</x:v>
      </x:c>
      <x:c r="F202" s="13" t="n">
        <x:v>0</x:v>
      </x:c>
      <x:c r="G202" s="13" t="n">
        <x:v>352923</x:v>
      </x:c>
      <x:c r="H202" s="13" t="n">
        <x:v>10755502</x:v>
      </x:c>
      <x:c r="I202" s="12" t="str">
        <x:v>CNY</x:v>
      </x:c>
      <x:c r="J202" s="12" t="str">
        <x:v>SYNTHETIC</x:v>
      </x:c>
    </x:row>
    <x:row r="203" ht="38" customHeight="1">
      <x:c r="A203" s="12" t="str">
        <x:v>KS-INJECTION-1000-B0199</x:v>
      </x:c>
      <x:c r="B203" s="14" t="n">
        <x:v>45468</x:v>
      </x:c>
      <x:c r="C203" s="12" t="str">
        <x:v>KS-INJECTION-1000-CIT-202406</x:v>
      </x:c>
      <x:c r="D203" s="12" t="str">
        <x:v>模拟税费账户</x:v>
      </x:c>
      <x:c r="E203" s="12" t="str">
        <x:v>所得税</x:v>
      </x:c>
      <x:c r="F203" s="13" t="n">
        <x:v>0</x:v>
      </x:c>
      <x:c r="G203" s="13" t="n">
        <x:v>349199</x:v>
      </x:c>
      <x:c r="H203" s="13" t="n">
        <x:v>10406303</x:v>
      </x:c>
      <x:c r="I203" s="12" t="str">
        <x:v>CNY</x:v>
      </x:c>
      <x:c r="J203" s="12" t="str">
        <x:v>SYNTHETIC</x:v>
      </x:c>
    </x:row>
    <x:row r="204" ht="38" customHeight="1">
      <x:c r="A204" s="12" t="str">
        <x:v>KS-INJECTION-1000-B0200</x:v>
      </x:c>
      <x:c r="B204" s="14" t="n">
        <x:v>45485</x:v>
      </x:c>
      <x:c r="C204" s="12" t="str">
        <x:v>KS-INJECTION-1000-S-202407-1</x:v>
      </x:c>
      <x:c r="D204" s="12" t="str">
        <x:v>模拟下游1</x:v>
      </x:c>
      <x:c r="E204" s="12" t="str">
        <x:v>销售回款</x:v>
      </x:c>
      <x:c r="F204" s="13" t="n">
        <x:v>1882149</x:v>
      </x:c>
      <x:c r="G204" s="13" t="n">
        <x:v>0</x:v>
      </x:c>
      <x:c r="H204" s="13" t="n">
        <x:v>12288452</x:v>
      </x:c>
      <x:c r="I204" s="12" t="str">
        <x:v>CNY</x:v>
      </x:c>
      <x:c r="J204" s="12" t="str">
        <x:v>SYNTHETIC</x:v>
      </x:c>
    </x:row>
    <x:row r="205" ht="38" customHeight="1">
      <x:c r="A205" s="12" t="str">
        <x:v>KS-INJECTION-1000-B0201</x:v>
      </x:c>
      <x:c r="B205" s="14" t="n">
        <x:v>45486</x:v>
      </x:c>
      <x:c r="C205" s="12" t="str">
        <x:v>KS-INJECTION-1000-S-202407-2</x:v>
      </x:c>
      <x:c r="D205" s="12" t="str">
        <x:v>模拟下游2</x:v>
      </x:c>
      <x:c r="E205" s="12" t="str">
        <x:v>销售回款</x:v>
      </x:c>
      <x:c r="F205" s="13" t="n">
        <x:v>1826792</x:v>
      </x:c>
      <x:c r="G205" s="13" t="n">
        <x:v>0</x:v>
      </x:c>
      <x:c r="H205" s="13" t="n">
        <x:v>14115244</x:v>
      </x:c>
      <x:c r="I205" s="12" t="str">
        <x:v>CNY</x:v>
      </x:c>
      <x:c r="J205" s="12" t="str">
        <x:v>SYNTHETIC</x:v>
      </x:c>
    </x:row>
    <x:row r="206" ht="38" customHeight="1">
      <x:c r="A206" s="12" t="str">
        <x:v>KS-INJECTION-1000-B0202</x:v>
      </x:c>
      <x:c r="B206" s="14" t="n">
        <x:v>45487</x:v>
      </x:c>
      <x:c r="C206" s="12" t="str">
        <x:v>KS-INJECTION-1000-S-202407-3</x:v>
      </x:c>
      <x:c r="D206" s="12" t="str">
        <x:v>模拟下游3</x:v>
      </x:c>
      <x:c r="E206" s="12" t="str">
        <x:v>销售回款</x:v>
      </x:c>
      <x:c r="F206" s="13" t="n">
        <x:v>1826793</x:v>
      </x:c>
      <x:c r="G206" s="13" t="n">
        <x:v>0</x:v>
      </x:c>
      <x:c r="H206" s="13" t="n">
        <x:v>15942037</x:v>
      </x:c>
      <x:c r="I206" s="12" t="str">
        <x:v>CNY</x:v>
      </x:c>
      <x:c r="J206" s="12" t="str">
        <x:v>SYNTHETIC</x:v>
      </x:c>
    </x:row>
    <x:row r="207" ht="38" customHeight="1">
      <x:c r="A207" s="12" t="str">
        <x:v>KS-INJECTION-1000-B0203</x:v>
      </x:c>
      <x:c r="B207" s="14" t="n">
        <x:v>45489</x:v>
      </x:c>
      <x:c r="C207" s="12" t="str">
        <x:v>KS-INJECTION-1000-P-202407-1</x:v>
      </x:c>
      <x:c r="D207" s="12" t="str">
        <x:v>模拟原料商1</x:v>
      </x:c>
      <x:c r="E207" s="12" t="str">
        <x:v>原料付款</x:v>
      </x:c>
      <x:c r="F207" s="13" t="n">
        <x:v>0</x:v>
      </x:c>
      <x:c r="G207" s="13" t="n">
        <x:v>1428219</x:v>
      </x:c>
      <x:c r="H207" s="13" t="n">
        <x:v>14513818</x:v>
      </x:c>
      <x:c r="I207" s="12" t="str">
        <x:v>CNY</x:v>
      </x:c>
      <x:c r="J207" s="12" t="str">
        <x:v>SYNTHETIC</x:v>
      </x:c>
    </x:row>
    <x:row r="208" ht="38" customHeight="1">
      <x:c r="A208" s="12" t="str">
        <x:v>KS-INJECTION-1000-B0204</x:v>
      </x:c>
      <x:c r="B208" s="14" t="n">
        <x:v>45490</x:v>
      </x:c>
      <x:c r="C208" s="12" t="str">
        <x:v>KS-INJECTION-1000-P-202407-2</x:v>
      </x:c>
      <x:c r="D208" s="12" t="str">
        <x:v>模拟原料商2</x:v>
      </x:c>
      <x:c r="E208" s="12" t="str">
        <x:v>原料付款</x:v>
      </x:c>
      <x:c r="F208" s="13" t="n">
        <x:v>0</x:v>
      </x:c>
      <x:c r="G208" s="13" t="n">
        <x:v>952146</x:v>
      </x:c>
      <x:c r="H208" s="13" t="n">
        <x:v>13561672</x:v>
      </x:c>
      <x:c r="I208" s="12" t="str">
        <x:v>CNY</x:v>
      </x:c>
      <x:c r="J208" s="12" t="str">
        <x:v>SYNTHETIC</x:v>
      </x:c>
    </x:row>
    <x:row r="209" ht="38" customHeight="1">
      <x:c r="A209" s="12" t="str">
        <x:v>KS-INJECTION-1000-B0205</x:v>
      </x:c>
      <x:c r="B209" s="14" t="n">
        <x:v>45498</x:v>
      </x:c>
      <x:c r="C209" s="12" t="str">
        <x:v>KS-INJECTION-1000-PAY-202407</x:v>
      </x:c>
      <x:c r="D209" s="12" t="str">
        <x:v>模拟工资代发</x:v>
      </x:c>
      <x:c r="E209" s="12" t="str">
        <x:v>工资</x:v>
      </x:c>
      <x:c r="F209" s="13" t="n">
        <x:v>0</x:v>
      </x:c>
      <x:c r="G209" s="13" t="n">
        <x:v>520000</x:v>
      </x:c>
      <x:c r="H209" s="13" t="n">
        <x:v>13041672</x:v>
      </x:c>
      <x:c r="I209" s="12" t="str">
        <x:v>CNY</x:v>
      </x:c>
      <x:c r="J209" s="12" t="str">
        <x:v>SYNTHETIC</x:v>
      </x:c>
    </x:row>
    <x:row r="210" ht="38" customHeight="1">
      <x:c r="A210" s="12" t="str">
        <x:v>KS-INJECTION-1000-B0206</x:v>
      </x:c>
      <x:c r="B210" s="14" t="n">
        <x:v>45498</x:v>
      </x:c>
      <x:c r="C210" s="12" t="str">
        <x:v>KS-INJECTION-1000-ELEC-202407</x:v>
      </x:c>
      <x:c r="D210" s="12" t="str">
        <x:v>模拟供电结算</x:v>
      </x:c>
      <x:c r="E210" s="12" t="str">
        <x:v>电费</x:v>
      </x:c>
      <x:c r="F210" s="13" t="n">
        <x:v>0</x:v>
      </x:c>
      <x:c r="G210" s="13" t="n">
        <x:v>280800</x:v>
      </x:c>
      <x:c r="H210" s="13" t="n">
        <x:v>12760872</x:v>
      </x:c>
      <x:c r="I210" s="12" t="str">
        <x:v>CNY</x:v>
      </x:c>
      <x:c r="J210" s="12" t="str">
        <x:v>SYNTHETIC</x:v>
      </x:c>
    </x:row>
    <x:row r="211" ht="38" customHeight="1">
      <x:c r="A211" s="12" t="str">
        <x:v>KS-INJECTION-1000-B0207</x:v>
      </x:c>
      <x:c r="B211" s="14" t="n">
        <x:v>45498</x:v>
      </x:c>
      <x:c r="C211" s="12" t="str">
        <x:v>KS-INJECTION-1000-OPEX-202407</x:v>
      </x:c>
      <x:c r="D211" s="12" t="str">
        <x:v>模拟费用结算</x:v>
      </x:c>
      <x:c r="E211" s="12" t="str">
        <x:v>管理销售费用</x:v>
      </x:c>
      <x:c r="F211" s="13" t="n">
        <x:v>0</x:v>
      </x:c>
      <x:c r="G211" s="13" t="n">
        <x:v>320000</x:v>
      </x:c>
      <x:c r="H211" s="13" t="n">
        <x:v>12440872</x:v>
      </x:c>
      <x:c r="I211" s="12" t="str">
        <x:v>CNY</x:v>
      </x:c>
      <x:c r="J211" s="12" t="str">
        <x:v>SYNTHETIC</x:v>
      </x:c>
    </x:row>
    <x:row r="212" ht="38" customHeight="1">
      <x:c r="A212" s="12" t="str">
        <x:v>KS-INJECTION-1000-B0208</x:v>
      </x:c>
      <x:c r="B212" s="14" t="n">
        <x:v>45498</x:v>
      </x:c>
      <x:c r="C212" s="12" t="str">
        <x:v>KS-INJECTION-1000-INT-202407</x:v>
      </x:c>
      <x:c r="D212" s="12" t="str">
        <x:v>模拟融资机构</x:v>
      </x:c>
      <x:c r="E212" s="12" t="str">
        <x:v>利息</x:v>
      </x:c>
      <x:c r="F212" s="13" t="n">
        <x:v>0</x:v>
      </x:c>
      <x:c r="G212" s="13" t="n">
        <x:v>25000</x:v>
      </x:c>
      <x:c r="H212" s="13" t="n">
        <x:v>12415872</x:v>
      </x:c>
      <x:c r="I212" s="12" t="str">
        <x:v>CNY</x:v>
      </x:c>
      <x:c r="J212" s="12" t="str">
        <x:v>SYNTHETIC</x:v>
      </x:c>
    </x:row>
    <x:row r="213" ht="38" customHeight="1">
      <x:c r="A213" s="12" t="str">
        <x:v>KS-INJECTION-1000-B0209</x:v>
      </x:c>
      <x:c r="B213" s="14" t="n">
        <x:v>45498</x:v>
      </x:c>
      <x:c r="C213" s="12" t="str">
        <x:v>KS-INJECTION-1000-VAT-202407</x:v>
      </x:c>
      <x:c r="D213" s="12" t="str">
        <x:v>模拟税费账户</x:v>
      </x:c>
      <x:c r="E213" s="12" t="str">
        <x:v>增值税</x:v>
      </x:c>
      <x:c r="F213" s="13" t="n">
        <x:v>0</x:v>
      </x:c>
      <x:c r="G213" s="13" t="n">
        <x:v>363007</x:v>
      </x:c>
      <x:c r="H213" s="13" t="n">
        <x:v>12052865</x:v>
      </x:c>
      <x:c r="I213" s="12" t="str">
        <x:v>CNY</x:v>
      </x:c>
      <x:c r="J213" s="12" t="str">
        <x:v>SYNTHETIC</x:v>
      </x:c>
    </x:row>
    <x:row r="214" ht="38" customHeight="1">
      <x:c r="A214" s="12" t="str">
        <x:v>KS-INJECTION-1000-B0210</x:v>
      </x:c>
      <x:c r="B214" s="14" t="n">
        <x:v>45498</x:v>
      </x:c>
      <x:c r="C214" s="12" t="str">
        <x:v>KS-INJECTION-1000-CIT-202407</x:v>
      </x:c>
      <x:c r="D214" s="12" t="str">
        <x:v>模拟税费账户</x:v>
      </x:c>
      <x:c r="E214" s="12" t="str">
        <x:v>所得税</x:v>
      </x:c>
      <x:c r="F214" s="13" t="n">
        <x:v>0</x:v>
      </x:c>
      <x:c r="G214" s="13" t="n">
        <x:v>366640</x:v>
      </x:c>
      <x:c r="H214" s="13" t="n">
        <x:v>11686225</x:v>
      </x:c>
      <x:c r="I214" s="12" t="str">
        <x:v>CNY</x:v>
      </x:c>
      <x:c r="J214" s="12" t="str">
        <x:v>SYNTHETIC</x:v>
      </x:c>
    </x:row>
    <x:row r="215" ht="38" customHeight="1">
      <x:c r="A215" s="12" t="str">
        <x:v>KS-INJECTION-1000-B0211</x:v>
      </x:c>
      <x:c r="B215" s="14" t="n">
        <x:v>45516</x:v>
      </x:c>
      <x:c r="C215" s="12" t="str">
        <x:v>KS-INJECTION-1000-S-202408-1</x:v>
      </x:c>
      <x:c r="D215" s="12" t="str">
        <x:v>模拟下游1</x:v>
      </x:c>
      <x:c r="E215" s="12" t="str">
        <x:v>销售回款</x:v>
      </x:c>
      <x:c r="F215" s="13" t="n">
        <x:v>1882149</x:v>
      </x:c>
      <x:c r="G215" s="13" t="n">
        <x:v>0</x:v>
      </x:c>
      <x:c r="H215" s="13" t="n">
        <x:v>13568374</x:v>
      </x:c>
      <x:c r="I215" s="12" t="str">
        <x:v>CNY</x:v>
      </x:c>
      <x:c r="J215" s="12" t="str">
        <x:v>SYNTHETIC</x:v>
      </x:c>
    </x:row>
    <x:row r="216" ht="38" customHeight="1">
      <x:c r="A216" s="12" t="str">
        <x:v>KS-INJECTION-1000-B0212</x:v>
      </x:c>
      <x:c r="B216" s="14" t="n">
        <x:v>45517</x:v>
      </x:c>
      <x:c r="C216" s="12" t="str">
        <x:v>KS-INJECTION-1000-S-202408-2</x:v>
      </x:c>
      <x:c r="D216" s="12" t="str">
        <x:v>模拟下游2</x:v>
      </x:c>
      <x:c r="E216" s="12" t="str">
        <x:v>销售回款</x:v>
      </x:c>
      <x:c r="F216" s="13" t="n">
        <x:v>1826792</x:v>
      </x:c>
      <x:c r="G216" s="13" t="n">
        <x:v>0</x:v>
      </x:c>
      <x:c r="H216" s="13" t="n">
        <x:v>15395166</x:v>
      </x:c>
      <x:c r="I216" s="12" t="str">
        <x:v>CNY</x:v>
      </x:c>
      <x:c r="J216" s="12" t="str">
        <x:v>SYNTHETIC</x:v>
      </x:c>
    </x:row>
    <x:row r="217" ht="38" customHeight="1">
      <x:c r="A217" s="12" t="str">
        <x:v>KS-INJECTION-1000-B0213</x:v>
      </x:c>
      <x:c r="B217" s="14" t="n">
        <x:v>45518</x:v>
      </x:c>
      <x:c r="C217" s="12" t="str">
        <x:v>KS-INJECTION-1000-S-202408-3</x:v>
      </x:c>
      <x:c r="D217" s="12" t="str">
        <x:v>模拟下游3</x:v>
      </x:c>
      <x:c r="E217" s="12" t="str">
        <x:v>销售回款</x:v>
      </x:c>
      <x:c r="F217" s="13" t="n">
        <x:v>1826793</x:v>
      </x:c>
      <x:c r="G217" s="13" t="n">
        <x:v>0</x:v>
      </x:c>
      <x:c r="H217" s="13" t="n">
        <x:v>17221959</x:v>
      </x:c>
      <x:c r="I217" s="12" t="str">
        <x:v>CNY</x:v>
      </x:c>
      <x:c r="J217" s="12" t="str">
        <x:v>SYNTHETIC</x:v>
      </x:c>
    </x:row>
    <x:row r="218" ht="38" customHeight="1">
      <x:c r="A218" s="12" t="str">
        <x:v>KS-INJECTION-1000-B0214</x:v>
      </x:c>
      <x:c r="B218" s="14" t="n">
        <x:v>45520</x:v>
      </x:c>
      <x:c r="C218" s="12" t="str">
        <x:v>KS-INJECTION-1000-P-202408-1</x:v>
      </x:c>
      <x:c r="D218" s="12" t="str">
        <x:v>模拟原料商1</x:v>
      </x:c>
      <x:c r="E218" s="12" t="str">
        <x:v>原料付款</x:v>
      </x:c>
      <x:c r="F218" s="13" t="n">
        <x:v>0</x:v>
      </x:c>
      <x:c r="G218" s="13" t="n">
        <x:v>1428219</x:v>
      </x:c>
      <x:c r="H218" s="13" t="n">
        <x:v>15793740</x:v>
      </x:c>
      <x:c r="I218" s="12" t="str">
        <x:v>CNY</x:v>
      </x:c>
      <x:c r="J218" s="12" t="str">
        <x:v>SYNTHETIC</x:v>
      </x:c>
    </x:row>
    <x:row r="219" ht="38" customHeight="1">
      <x:c r="A219" s="12" t="str">
        <x:v>KS-INJECTION-1000-B0215</x:v>
      </x:c>
      <x:c r="B219" s="14" t="n">
        <x:v>45521</x:v>
      </x:c>
      <x:c r="C219" s="12" t="str">
        <x:v>KS-INJECTION-1000-P-202408-2</x:v>
      </x:c>
      <x:c r="D219" s="12" t="str">
        <x:v>模拟原料商2</x:v>
      </x:c>
      <x:c r="E219" s="12" t="str">
        <x:v>原料付款</x:v>
      </x:c>
      <x:c r="F219" s="13" t="n">
        <x:v>0</x:v>
      </x:c>
      <x:c r="G219" s="13" t="n">
        <x:v>952146</x:v>
      </x:c>
      <x:c r="H219" s="13" t="n">
        <x:v>14841594</x:v>
      </x:c>
      <x:c r="I219" s="12" t="str">
        <x:v>CNY</x:v>
      </x:c>
      <x:c r="J219" s="12" t="str">
        <x:v>SYNTHETIC</x:v>
      </x:c>
    </x:row>
    <x:row r="220" ht="38" customHeight="1">
      <x:c r="A220" s="12" t="str">
        <x:v>KS-INJECTION-1000-B0216</x:v>
      </x:c>
      <x:c r="B220" s="14" t="n">
        <x:v>45529</x:v>
      </x:c>
      <x:c r="C220" s="12" t="str">
        <x:v>KS-INJECTION-1000-PAY-202408</x:v>
      </x:c>
      <x:c r="D220" s="12" t="str">
        <x:v>模拟工资代发</x:v>
      </x:c>
      <x:c r="E220" s="12" t="str">
        <x:v>工资</x:v>
      </x:c>
      <x:c r="F220" s="13" t="n">
        <x:v>0</x:v>
      </x:c>
      <x:c r="G220" s="13" t="n">
        <x:v>520000</x:v>
      </x:c>
      <x:c r="H220" s="13" t="n">
        <x:v>14321594</x:v>
      </x:c>
      <x:c r="I220" s="12" t="str">
        <x:v>CNY</x:v>
      </x:c>
      <x:c r="J220" s="12" t="str">
        <x:v>SYNTHETIC</x:v>
      </x:c>
    </x:row>
    <x:row r="221" ht="38" customHeight="1">
      <x:c r="A221" s="12" t="str">
        <x:v>KS-INJECTION-1000-B0217</x:v>
      </x:c>
      <x:c r="B221" s="14" t="n">
        <x:v>45529</x:v>
      </x:c>
      <x:c r="C221" s="12" t="str">
        <x:v>KS-INJECTION-1000-ELEC-202408</x:v>
      </x:c>
      <x:c r="D221" s="12" t="str">
        <x:v>模拟供电结算</x:v>
      </x:c>
      <x:c r="E221" s="12" t="str">
        <x:v>电费</x:v>
      </x:c>
      <x:c r="F221" s="13" t="n">
        <x:v>0</x:v>
      </x:c>
      <x:c r="G221" s="13" t="n">
        <x:v>280800</x:v>
      </x:c>
      <x:c r="H221" s="13" t="n">
        <x:v>14040794</x:v>
      </x:c>
      <x:c r="I221" s="12" t="str">
        <x:v>CNY</x:v>
      </x:c>
      <x:c r="J221" s="12" t="str">
        <x:v>SYNTHETIC</x:v>
      </x:c>
    </x:row>
    <x:row r="222" ht="38" customHeight="1">
      <x:c r="A222" s="12" t="str">
        <x:v>KS-INJECTION-1000-B0218</x:v>
      </x:c>
      <x:c r="B222" s="14" t="n">
        <x:v>45529</x:v>
      </x:c>
      <x:c r="C222" s="12" t="str">
        <x:v>KS-INJECTION-1000-OPEX-202408</x:v>
      </x:c>
      <x:c r="D222" s="12" t="str">
        <x:v>模拟费用结算</x:v>
      </x:c>
      <x:c r="E222" s="12" t="str">
        <x:v>管理销售费用</x:v>
      </x:c>
      <x:c r="F222" s="13" t="n">
        <x:v>0</x:v>
      </x:c>
      <x:c r="G222" s="13" t="n">
        <x:v>320000</x:v>
      </x:c>
      <x:c r="H222" s="13" t="n">
        <x:v>13720794</x:v>
      </x:c>
      <x:c r="I222" s="12" t="str">
        <x:v>CNY</x:v>
      </x:c>
      <x:c r="J222" s="12" t="str">
        <x:v>SYNTHETIC</x:v>
      </x:c>
    </x:row>
    <x:row r="223" ht="38" customHeight="1">
      <x:c r="A223" s="12" t="str">
        <x:v>KS-INJECTION-1000-B0219</x:v>
      </x:c>
      <x:c r="B223" s="14" t="n">
        <x:v>45529</x:v>
      </x:c>
      <x:c r="C223" s="12" t="str">
        <x:v>KS-INJECTION-1000-INT-202408</x:v>
      </x:c>
      <x:c r="D223" s="12" t="str">
        <x:v>模拟融资机构</x:v>
      </x:c>
      <x:c r="E223" s="12" t="str">
        <x:v>利息</x:v>
      </x:c>
      <x:c r="F223" s="13" t="n">
        <x:v>0</x:v>
      </x:c>
      <x:c r="G223" s="13" t="n">
        <x:v>25000</x:v>
      </x:c>
      <x:c r="H223" s="13" t="n">
        <x:v>13695794</x:v>
      </x:c>
      <x:c r="I223" s="12" t="str">
        <x:v>CNY</x:v>
      </x:c>
      <x:c r="J223" s="12" t="str">
        <x:v>SYNTHETIC</x:v>
      </x:c>
    </x:row>
    <x:row r="224" ht="38" customHeight="1">
      <x:c r="A224" s="12" t="str">
        <x:v>KS-INJECTION-1000-B0220</x:v>
      </x:c>
      <x:c r="B224" s="14" t="n">
        <x:v>45529</x:v>
      </x:c>
      <x:c r="C224" s="12" t="str">
        <x:v>KS-INJECTION-1000-VAT-202408</x:v>
      </x:c>
      <x:c r="D224" s="12" t="str">
        <x:v>模拟税费账户</x:v>
      </x:c>
      <x:c r="E224" s="12" t="str">
        <x:v>增值税</x:v>
      </x:c>
      <x:c r="F224" s="13" t="n">
        <x:v>0</x:v>
      </x:c>
      <x:c r="G224" s="13" t="n">
        <x:v>363007</x:v>
      </x:c>
      <x:c r="H224" s="13" t="n">
        <x:v>13332787</x:v>
      </x:c>
      <x:c r="I224" s="12" t="str">
        <x:v>CNY</x:v>
      </x:c>
      <x:c r="J224" s="12" t="str">
        <x:v>SYNTHETIC</x:v>
      </x:c>
    </x:row>
    <x:row r="225" ht="38" customHeight="1">
      <x:c r="A225" s="12" t="str">
        <x:v>KS-INJECTION-1000-B0221</x:v>
      </x:c>
      <x:c r="B225" s="14" t="n">
        <x:v>45529</x:v>
      </x:c>
      <x:c r="C225" s="12" t="str">
        <x:v>KS-INJECTION-1000-CIT-202408</x:v>
      </x:c>
      <x:c r="D225" s="12" t="str">
        <x:v>模拟税费账户</x:v>
      </x:c>
      <x:c r="E225" s="12" t="str">
        <x:v>所得税</x:v>
      </x:c>
      <x:c r="F225" s="13" t="n">
        <x:v>0</x:v>
      </x:c>
      <x:c r="G225" s="13" t="n">
        <x:v>366640</x:v>
      </x:c>
      <x:c r="H225" s="13" t="n">
        <x:v>12966147</x:v>
      </x:c>
      <x:c r="I225" s="12" t="str">
        <x:v>CNY</x:v>
      </x:c>
      <x:c r="J225" s="12" t="str">
        <x:v>SYNTHETIC</x:v>
      </x:c>
    </x:row>
    <x:row r="226" ht="38" customHeight="1">
      <x:c r="A226" s="12" t="str">
        <x:v>KS-INJECTION-1000-B0222</x:v>
      </x:c>
      <x:c r="B226" s="14" t="n">
        <x:v>45547</x:v>
      </x:c>
      <x:c r="C226" s="12" t="str">
        <x:v>KS-INJECTION-1000-S-202409-1</x:v>
      </x:c>
      <x:c r="D226" s="12" t="str">
        <x:v>模拟下游1</x:v>
      </x:c>
      <x:c r="E226" s="12" t="str">
        <x:v>销售回款</x:v>
      </x:c>
      <x:c r="F226" s="13" t="n">
        <x:v>1812441</x:v>
      </x:c>
      <x:c r="G226" s="13" t="n">
        <x:v>0</x:v>
      </x:c>
      <x:c r="H226" s="13" t="n">
        <x:v>14778588</x:v>
      </x:c>
      <x:c r="I226" s="12" t="str">
        <x:v>CNY</x:v>
      </x:c>
      <x:c r="J226" s="12" t="str">
        <x:v>SYNTHETIC</x:v>
      </x:c>
    </x:row>
    <x:row r="227" ht="38" customHeight="1">
      <x:c r="A227" s="12" t="str">
        <x:v>KS-INJECTION-1000-B0223</x:v>
      </x:c>
      <x:c r="B227" s="14" t="n">
        <x:v>45548</x:v>
      </x:c>
      <x:c r="C227" s="12" t="str">
        <x:v>KS-INJECTION-1000-S-202409-2</x:v>
      </x:c>
      <x:c r="D227" s="12" t="str">
        <x:v>模拟下游2</x:v>
      </x:c>
      <x:c r="E227" s="12" t="str">
        <x:v>销售回款</x:v>
      </x:c>
      <x:c r="F227" s="13" t="n">
        <x:v>1759133</x:v>
      </x:c>
      <x:c r="G227" s="13" t="n">
        <x:v>0</x:v>
      </x:c>
      <x:c r="H227" s="13" t="n">
        <x:v>16537721</x:v>
      </x:c>
      <x:c r="I227" s="12" t="str">
        <x:v>CNY</x:v>
      </x:c>
      <x:c r="J227" s="12" t="str">
        <x:v>SYNTHETIC</x:v>
      </x:c>
    </x:row>
    <x:row r="228" ht="38" customHeight="1">
      <x:c r="A228" s="12" t="str">
        <x:v>KS-INJECTION-1000-B0224</x:v>
      </x:c>
      <x:c r="B228" s="14" t="n">
        <x:v>45549</x:v>
      </x:c>
      <x:c r="C228" s="12" t="str">
        <x:v>KS-INJECTION-1000-S-202409-3</x:v>
      </x:c>
      <x:c r="D228" s="12" t="str">
        <x:v>模拟下游3</x:v>
      </x:c>
      <x:c r="E228" s="12" t="str">
        <x:v>销售回款</x:v>
      </x:c>
      <x:c r="F228" s="13" t="n">
        <x:v>1759133</x:v>
      </x:c>
      <x:c r="G228" s="13" t="n">
        <x:v>0</x:v>
      </x:c>
      <x:c r="H228" s="13" t="n">
        <x:v>18296854</x:v>
      </x:c>
      <x:c r="I228" s="12" t="str">
        <x:v>CNY</x:v>
      </x:c>
      <x:c r="J228" s="12" t="str">
        <x:v>SYNTHETIC</x:v>
      </x:c>
    </x:row>
    <x:row r="229" ht="38" customHeight="1">
      <x:c r="A229" s="12" t="str">
        <x:v>KS-INJECTION-1000-B0225</x:v>
      </x:c>
      <x:c r="B229" s="14" t="n">
        <x:v>45551</x:v>
      </x:c>
      <x:c r="C229" s="12" t="str">
        <x:v>KS-INJECTION-1000-P-202409-1</x:v>
      </x:c>
      <x:c r="D229" s="12" t="str">
        <x:v>模拟原料商1</x:v>
      </x:c>
      <x:c r="E229" s="12" t="str">
        <x:v>原料付款</x:v>
      </x:c>
      <x:c r="F229" s="13" t="n">
        <x:v>0</x:v>
      </x:c>
      <x:c r="G229" s="13" t="n">
        <x:v>1375322</x:v>
      </x:c>
      <x:c r="H229" s="13" t="n">
        <x:v>16921532</x:v>
      </x:c>
      <x:c r="I229" s="12" t="str">
        <x:v>CNY</x:v>
      </x:c>
      <x:c r="J229" s="12" t="str">
        <x:v>SYNTHETIC</x:v>
      </x:c>
    </x:row>
    <x:row r="230" ht="38" customHeight="1">
      <x:c r="A230" s="12" t="str">
        <x:v>KS-INJECTION-1000-B0226</x:v>
      </x:c>
      <x:c r="B230" s="14" t="n">
        <x:v>45552</x:v>
      </x:c>
      <x:c r="C230" s="12" t="str">
        <x:v>KS-INJECTION-1000-P-202409-2</x:v>
      </x:c>
      <x:c r="D230" s="12" t="str">
        <x:v>模拟原料商2</x:v>
      </x:c>
      <x:c r="E230" s="12" t="str">
        <x:v>原料付款</x:v>
      </x:c>
      <x:c r="F230" s="13" t="n">
        <x:v>0</x:v>
      </x:c>
      <x:c r="G230" s="13" t="n">
        <x:v>916882</x:v>
      </x:c>
      <x:c r="H230" s="13" t="n">
        <x:v>16004650</x:v>
      </x:c>
      <x:c r="I230" s="12" t="str">
        <x:v>CNY</x:v>
      </x:c>
      <x:c r="J230" s="12" t="str">
        <x:v>SYNTHETIC</x:v>
      </x:c>
    </x:row>
    <x:row r="231" ht="38" customHeight="1">
      <x:c r="A231" s="12" t="str">
        <x:v>KS-INJECTION-1000-B0227</x:v>
      </x:c>
      <x:c r="B231" s="14" t="n">
        <x:v>45560</x:v>
      </x:c>
      <x:c r="C231" s="12" t="str">
        <x:v>KS-INJECTION-1000-PAY-202409</x:v>
      </x:c>
      <x:c r="D231" s="12" t="str">
        <x:v>模拟工资代发</x:v>
      </x:c>
      <x:c r="E231" s="12" t="str">
        <x:v>工资</x:v>
      </x:c>
      <x:c r="F231" s="13" t="n">
        <x:v>0</x:v>
      </x:c>
      <x:c r="G231" s="13" t="n">
        <x:v>520000</x:v>
      </x:c>
      <x:c r="H231" s="13" t="n">
        <x:v>15484650</x:v>
      </x:c>
      <x:c r="I231" s="12" t="str">
        <x:v>CNY</x:v>
      </x:c>
      <x:c r="J231" s="12" t="str">
        <x:v>SYNTHETIC</x:v>
      </x:c>
    </x:row>
    <x:row r="232" ht="38" customHeight="1">
      <x:c r="A232" s="12" t="str">
        <x:v>KS-INJECTION-1000-B0228</x:v>
      </x:c>
      <x:c r="B232" s="14" t="n">
        <x:v>45560</x:v>
      </x:c>
      <x:c r="C232" s="12" t="str">
        <x:v>KS-INJECTION-1000-ELEC-202409</x:v>
      </x:c>
      <x:c r="D232" s="12" t="str">
        <x:v>模拟供电结算</x:v>
      </x:c>
      <x:c r="E232" s="12" t="str">
        <x:v>电费</x:v>
      </x:c>
      <x:c r="F232" s="13" t="n">
        <x:v>0</x:v>
      </x:c>
      <x:c r="G232" s="13" t="n">
        <x:v>270400</x:v>
      </x:c>
      <x:c r="H232" s="13" t="n">
        <x:v>15214250</x:v>
      </x:c>
      <x:c r="I232" s="12" t="str">
        <x:v>CNY</x:v>
      </x:c>
      <x:c r="J232" s="12" t="str">
        <x:v>SYNTHETIC</x:v>
      </x:c>
    </x:row>
    <x:row r="233" ht="38" customHeight="1">
      <x:c r="A233" s="12" t="str">
        <x:v>KS-INJECTION-1000-B0229</x:v>
      </x:c>
      <x:c r="B233" s="14" t="n">
        <x:v>45560</x:v>
      </x:c>
      <x:c r="C233" s="12" t="str">
        <x:v>KS-INJECTION-1000-OPEX-202409</x:v>
      </x:c>
      <x:c r="D233" s="12" t="str">
        <x:v>模拟费用结算</x:v>
      </x:c>
      <x:c r="E233" s="12" t="str">
        <x:v>管理销售费用</x:v>
      </x:c>
      <x:c r="F233" s="13" t="n">
        <x:v>0</x:v>
      </x:c>
      <x:c r="G233" s="13" t="n">
        <x:v>320000</x:v>
      </x:c>
      <x:c r="H233" s="13" t="n">
        <x:v>14894250</x:v>
      </x:c>
      <x:c r="I233" s="12" t="str">
        <x:v>CNY</x:v>
      </x:c>
      <x:c r="J233" s="12" t="str">
        <x:v>SYNTHETIC</x:v>
      </x:c>
    </x:row>
    <x:row r="234" ht="38" customHeight="1">
      <x:c r="A234" s="12" t="str">
        <x:v>KS-INJECTION-1000-B0230</x:v>
      </x:c>
      <x:c r="B234" s="14" t="n">
        <x:v>45560</x:v>
      </x:c>
      <x:c r="C234" s="12" t="str">
        <x:v>KS-INJECTION-1000-INT-202409</x:v>
      </x:c>
      <x:c r="D234" s="12" t="str">
        <x:v>模拟融资机构</x:v>
      </x:c>
      <x:c r="E234" s="12" t="str">
        <x:v>利息</x:v>
      </x:c>
      <x:c r="F234" s="13" t="n">
        <x:v>0</x:v>
      </x:c>
      <x:c r="G234" s="13" t="n">
        <x:v>25000</x:v>
      </x:c>
      <x:c r="H234" s="13" t="n">
        <x:v>14869250</x:v>
      </x:c>
      <x:c r="I234" s="12" t="str">
        <x:v>CNY</x:v>
      </x:c>
      <x:c r="J234" s="12" t="str">
        <x:v>SYNTHETIC</x:v>
      </x:c>
    </x:row>
    <x:row r="235" ht="38" customHeight="1">
      <x:c r="A235" s="12" t="str">
        <x:v>KS-INJECTION-1000-B0231</x:v>
      </x:c>
      <x:c r="B235" s="14" t="n">
        <x:v>45560</x:v>
      </x:c>
      <x:c r="C235" s="12" t="str">
        <x:v>KS-INJECTION-1000-VAT-202409</x:v>
      </x:c>
      <x:c r="D235" s="12" t="str">
        <x:v>模拟税费账户</x:v>
      </x:c>
      <x:c r="E235" s="12" t="str">
        <x:v>增值税</x:v>
      </x:c>
      <x:c r="F235" s="13" t="n">
        <x:v>0</x:v>
      </x:c>
      <x:c r="G235" s="13" t="n">
        <x:v>349562</x:v>
      </x:c>
      <x:c r="H235" s="13" t="n">
        <x:v>14519688</x:v>
      </x:c>
      <x:c r="I235" s="12" t="str">
        <x:v>CNY</x:v>
      </x:c>
      <x:c r="J235" s="12" t="str">
        <x:v>SYNTHETIC</x:v>
      </x:c>
    </x:row>
    <x:row r="236" ht="38" customHeight="1">
      <x:c r="A236" s="12" t="str">
        <x:v>KS-INJECTION-1000-B0232</x:v>
      </x:c>
      <x:c r="B236" s="14" t="n">
        <x:v>45560</x:v>
      </x:c>
      <x:c r="C236" s="12" t="str">
        <x:v>KS-INJECTION-1000-CIT-202409</x:v>
      </x:c>
      <x:c r="D236" s="12" t="str">
        <x:v>模拟税费账户</x:v>
      </x:c>
      <x:c r="E236" s="12" t="str">
        <x:v>所得税</x:v>
      </x:c>
      <x:c r="F236" s="13" t="n">
        <x:v>0</x:v>
      </x:c>
      <x:c r="G236" s="13" t="n">
        <x:v>343385</x:v>
      </x:c>
      <x:c r="H236" s="13" t="n">
        <x:v>14176303</x:v>
      </x:c>
      <x:c r="I236" s="12" t="str">
        <x:v>CNY</x:v>
      </x:c>
      <x:c r="J236" s="12" t="str">
        <x:v>SYNTHETIC</x:v>
      </x:c>
    </x:row>
    <x:row r="237" ht="38" customHeight="1">
      <x:c r="A237" s="12" t="str">
        <x:v>KS-INJECTION-1000-B0233</x:v>
      </x:c>
      <x:c r="B237" s="14" t="n">
        <x:v>45577</x:v>
      </x:c>
      <x:c r="C237" s="12" t="str">
        <x:v>KS-INJECTION-1000-S-202410-1</x:v>
      </x:c>
      <x:c r="D237" s="12" t="str">
        <x:v>模拟下游1</x:v>
      </x:c>
      <x:c r="E237" s="12" t="str">
        <x:v>销售回款</x:v>
      </x:c>
      <x:c r="F237" s="13" t="n">
        <x:v>1777586</x:v>
      </x:c>
      <x:c r="G237" s="13" t="n">
        <x:v>0</x:v>
      </x:c>
      <x:c r="H237" s="13" t="n">
        <x:v>15953889</x:v>
      </x:c>
      <x:c r="I237" s="12" t="str">
        <x:v>CNY</x:v>
      </x:c>
      <x:c r="J237" s="12" t="str">
        <x:v>SYNTHETIC</x:v>
      </x:c>
    </x:row>
    <x:row r="238" ht="38" customHeight="1">
      <x:c r="A238" s="12" t="str">
        <x:v>KS-INJECTION-1000-B0234</x:v>
      </x:c>
      <x:c r="B238" s="14" t="n">
        <x:v>45578</x:v>
      </x:c>
      <x:c r="C238" s="12" t="str">
        <x:v>KS-INJECTION-1000-S-202410-2</x:v>
      </x:c>
      <x:c r="D238" s="12" t="str">
        <x:v>模拟下游2</x:v>
      </x:c>
      <x:c r="E238" s="12" t="str">
        <x:v>销售回款</x:v>
      </x:c>
      <x:c r="F238" s="13" t="n">
        <x:v>1725304</x:v>
      </x:c>
      <x:c r="G238" s="13" t="n">
        <x:v>0</x:v>
      </x:c>
      <x:c r="H238" s="13" t="n">
        <x:v>17679193</x:v>
      </x:c>
      <x:c r="I238" s="12" t="str">
        <x:v>CNY</x:v>
      </x:c>
      <x:c r="J238" s="12" t="str">
        <x:v>SYNTHETIC</x:v>
      </x:c>
    </x:row>
    <x:row r="239" ht="38" customHeight="1">
      <x:c r="A239" s="12" t="str">
        <x:v>KS-INJECTION-1000-B0235</x:v>
      </x:c>
      <x:c r="B239" s="14" t="n">
        <x:v>45579</x:v>
      </x:c>
      <x:c r="C239" s="12" t="str">
        <x:v>KS-INJECTION-1000-S-202410-3</x:v>
      </x:c>
      <x:c r="D239" s="12" t="str">
        <x:v>模拟下游3</x:v>
      </x:c>
      <x:c r="E239" s="12" t="str">
        <x:v>销售回款</x:v>
      </x:c>
      <x:c r="F239" s="13" t="n">
        <x:v>1725304</x:v>
      </x:c>
      <x:c r="G239" s="13" t="n">
        <x:v>0</x:v>
      </x:c>
      <x:c r="H239" s="13" t="n">
        <x:v>19404497</x:v>
      </x:c>
      <x:c r="I239" s="12" t="str">
        <x:v>CNY</x:v>
      </x:c>
      <x:c r="J239" s="12" t="str">
        <x:v>SYNTHETIC</x:v>
      </x:c>
    </x:row>
    <x:row r="240" ht="38" customHeight="1">
      <x:c r="A240" s="12" t="str">
        <x:v>KS-INJECTION-1000-B0236</x:v>
      </x:c>
      <x:c r="B240" s="14" t="n">
        <x:v>45581</x:v>
      </x:c>
      <x:c r="C240" s="12" t="str">
        <x:v>KS-INJECTION-1000-P-202410-1</x:v>
      </x:c>
      <x:c r="D240" s="12" t="str">
        <x:v>模拟原料商1</x:v>
      </x:c>
      <x:c r="E240" s="12" t="str">
        <x:v>原料付款</x:v>
      </x:c>
      <x:c r="F240" s="13" t="n">
        <x:v>0</x:v>
      </x:c>
      <x:c r="G240" s="13" t="n">
        <x:v>1348874</x:v>
      </x:c>
      <x:c r="H240" s="13" t="n">
        <x:v>18055623</x:v>
      </x:c>
      <x:c r="I240" s="12" t="str">
        <x:v>CNY</x:v>
      </x:c>
      <x:c r="J240" s="12" t="str">
        <x:v>SYNTHETIC</x:v>
      </x:c>
    </x:row>
    <x:row r="241" ht="38" customHeight="1">
      <x:c r="A241" s="12" t="str">
        <x:v>KS-INJECTION-1000-B0237</x:v>
      </x:c>
      <x:c r="B241" s="14" t="n">
        <x:v>45582</x:v>
      </x:c>
      <x:c r="C241" s="12" t="str">
        <x:v>KS-INJECTION-1000-P-202410-2</x:v>
      </x:c>
      <x:c r="D241" s="12" t="str">
        <x:v>模拟原料商2</x:v>
      </x:c>
      <x:c r="E241" s="12" t="str">
        <x:v>原料付款</x:v>
      </x:c>
      <x:c r="F241" s="13" t="n">
        <x:v>0</x:v>
      </x:c>
      <x:c r="G241" s="13" t="n">
        <x:v>899250</x:v>
      </x:c>
      <x:c r="H241" s="13" t="n">
        <x:v>17156373</x:v>
      </x:c>
      <x:c r="I241" s="12" t="str">
        <x:v>CNY</x:v>
      </x:c>
      <x:c r="J241" s="12" t="str">
        <x:v>SYNTHETIC</x:v>
      </x:c>
    </x:row>
    <x:row r="242" ht="38" customHeight="1">
      <x:c r="A242" s="12" t="str">
        <x:v>KS-INJECTION-1000-B0238</x:v>
      </x:c>
      <x:c r="B242" s="14" t="n">
        <x:v>45590</x:v>
      </x:c>
      <x:c r="C242" s="12" t="str">
        <x:v>KS-INJECTION-1000-PAY-202410</x:v>
      </x:c>
      <x:c r="D242" s="12" t="str">
        <x:v>模拟工资代发</x:v>
      </x:c>
      <x:c r="E242" s="12" t="str">
        <x:v>工资</x:v>
      </x:c>
      <x:c r="F242" s="13" t="n">
        <x:v>0</x:v>
      </x:c>
      <x:c r="G242" s="13" t="n">
        <x:v>520000</x:v>
      </x:c>
      <x:c r="H242" s="13" t="n">
        <x:v>16636373</x:v>
      </x:c>
      <x:c r="I242" s="12" t="str">
        <x:v>CNY</x:v>
      </x:c>
      <x:c r="J242" s="12" t="str">
        <x:v>SYNTHETIC</x:v>
      </x:c>
    </x:row>
    <x:row r="243" ht="38" customHeight="1">
      <x:c r="A243" s="12" t="str">
        <x:v>KS-INJECTION-1000-B0239</x:v>
      </x:c>
      <x:c r="B243" s="14" t="n">
        <x:v>45590</x:v>
      </x:c>
      <x:c r="C243" s="12" t="str">
        <x:v>KS-INJECTION-1000-ELEC-202410</x:v>
      </x:c>
      <x:c r="D243" s="12" t="str">
        <x:v>模拟供电结算</x:v>
      </x:c>
      <x:c r="E243" s="12" t="str">
        <x:v>电费</x:v>
      </x:c>
      <x:c r="F243" s="13" t="n">
        <x:v>0</x:v>
      </x:c>
      <x:c r="G243" s="13" t="n">
        <x:v>265200</x:v>
      </x:c>
      <x:c r="H243" s="13" t="n">
        <x:v>16371173</x:v>
      </x:c>
      <x:c r="I243" s="12" t="str">
        <x:v>CNY</x:v>
      </x:c>
      <x:c r="J243" s="12" t="str">
        <x:v>SYNTHETIC</x:v>
      </x:c>
    </x:row>
    <x:row r="244" ht="38" customHeight="1">
      <x:c r="A244" s="12" t="str">
        <x:v>KS-INJECTION-1000-B0240</x:v>
      </x:c>
      <x:c r="B244" s="14" t="n">
        <x:v>45590</x:v>
      </x:c>
      <x:c r="C244" s="12" t="str">
        <x:v>KS-INJECTION-1000-OPEX-202410</x:v>
      </x:c>
      <x:c r="D244" s="12" t="str">
        <x:v>模拟费用结算</x:v>
      </x:c>
      <x:c r="E244" s="12" t="str">
        <x:v>管理销售费用</x:v>
      </x:c>
      <x:c r="F244" s="13" t="n">
        <x:v>0</x:v>
      </x:c>
      <x:c r="G244" s="13" t="n">
        <x:v>320000</x:v>
      </x:c>
      <x:c r="H244" s="13" t="n">
        <x:v>16051173</x:v>
      </x:c>
      <x:c r="I244" s="12" t="str">
        <x:v>CNY</x:v>
      </x:c>
      <x:c r="J244" s="12" t="str">
        <x:v>SYNTHETIC</x:v>
      </x:c>
    </x:row>
    <x:row r="245" ht="38" customHeight="1">
      <x:c r="A245" s="12" t="str">
        <x:v>KS-INJECTION-1000-B0241</x:v>
      </x:c>
      <x:c r="B245" s="14" t="n">
        <x:v>45590</x:v>
      </x:c>
      <x:c r="C245" s="12" t="str">
        <x:v>KS-INJECTION-1000-INT-202410</x:v>
      </x:c>
      <x:c r="D245" s="12" t="str">
        <x:v>模拟融资机构</x:v>
      </x:c>
      <x:c r="E245" s="12" t="str">
        <x:v>利息</x:v>
      </x:c>
      <x:c r="F245" s="13" t="n">
        <x:v>0</x:v>
      </x:c>
      <x:c r="G245" s="13" t="n">
        <x:v>25000</x:v>
      </x:c>
      <x:c r="H245" s="13" t="n">
        <x:v>16026173</x:v>
      </x:c>
      <x:c r="I245" s="12" t="str">
        <x:v>CNY</x:v>
      </x:c>
      <x:c r="J245" s="12" t="str">
        <x:v>SYNTHETIC</x:v>
      </x:c>
    </x:row>
    <x:row r="246" ht="38" customHeight="1">
      <x:c r="A246" s="12" t="str">
        <x:v>KS-INJECTION-1000-B0242</x:v>
      </x:c>
      <x:c r="B246" s="14" t="n">
        <x:v>45590</x:v>
      </x:c>
      <x:c r="C246" s="12" t="str">
        <x:v>KS-INJECTION-1000-VAT-202410</x:v>
      </x:c>
      <x:c r="D246" s="12" t="str">
        <x:v>模拟税费账户</x:v>
      </x:c>
      <x:c r="E246" s="12" t="str">
        <x:v>增值税</x:v>
      </x:c>
      <x:c r="F246" s="13" t="n">
        <x:v>0</x:v>
      </x:c>
      <x:c r="G246" s="13" t="n">
        <x:v>342840</x:v>
      </x:c>
      <x:c r="H246" s="13" t="n">
        <x:v>15683333</x:v>
      </x:c>
      <x:c r="I246" s="12" t="str">
        <x:v>CNY</x:v>
      </x:c>
      <x:c r="J246" s="12" t="str">
        <x:v>SYNTHETIC</x:v>
      </x:c>
    </x:row>
    <x:row r="247" ht="38" customHeight="1">
      <x:c r="A247" s="12" t="str">
        <x:v>KS-INJECTION-1000-B0243</x:v>
      </x:c>
      <x:c r="B247" s="14" t="n">
        <x:v>45590</x:v>
      </x:c>
      <x:c r="C247" s="12" t="str">
        <x:v>KS-INJECTION-1000-CIT-202410</x:v>
      </x:c>
      <x:c r="D247" s="12" t="str">
        <x:v>模拟税费账户</x:v>
      </x:c>
      <x:c r="E247" s="12" t="str">
        <x:v>所得税</x:v>
      </x:c>
      <x:c r="F247" s="13" t="n">
        <x:v>0</x:v>
      </x:c>
      <x:c r="G247" s="13" t="n">
        <x:v>331758</x:v>
      </x:c>
      <x:c r="H247" s="13" t="n">
        <x:v>15351575</x:v>
      </x:c>
      <x:c r="I247" s="12" t="str">
        <x:v>CNY</x:v>
      </x:c>
      <x:c r="J247" s="12" t="str">
        <x:v>SYNTHETIC</x:v>
      </x:c>
    </x:row>
    <x:row r="248" ht="38" customHeight="1">
      <x:c r="A248" s="12" t="str">
        <x:v>KS-INJECTION-1000-B0244</x:v>
      </x:c>
      <x:c r="B248" s="14" t="n">
        <x:v>45608</x:v>
      </x:c>
      <x:c r="C248" s="12" t="str">
        <x:v>KS-INJECTION-1000-S-202411-1</x:v>
      </x:c>
      <x:c r="D248" s="12" t="str">
        <x:v>模拟下游1</x:v>
      </x:c>
      <x:c r="E248" s="12" t="str">
        <x:v>销售回款</x:v>
      </x:c>
      <x:c r="F248" s="13" t="n">
        <x:v>1847295</x:v>
      </x:c>
      <x:c r="G248" s="13" t="n">
        <x:v>0</x:v>
      </x:c>
      <x:c r="H248" s="13" t="n">
        <x:v>17198870</x:v>
      </x:c>
      <x:c r="I248" s="12" t="str">
        <x:v>CNY</x:v>
      </x:c>
      <x:c r="J248" s="12" t="str">
        <x:v>SYNTHETIC</x:v>
      </x:c>
    </x:row>
    <x:row r="249" ht="38" customHeight="1">
      <x:c r="A249" s="12" t="str">
        <x:v>KS-INJECTION-1000-B0245</x:v>
      </x:c>
      <x:c r="B249" s="14" t="n">
        <x:v>45609</x:v>
      </x:c>
      <x:c r="C249" s="12" t="str">
        <x:v>KS-INJECTION-1000-S-202411-2</x:v>
      </x:c>
      <x:c r="D249" s="12" t="str">
        <x:v>模拟下游2</x:v>
      </x:c>
      <x:c r="E249" s="12" t="str">
        <x:v>销售回款</x:v>
      </x:c>
      <x:c r="F249" s="13" t="n">
        <x:v>1792963</x:v>
      </x:c>
      <x:c r="G249" s="13" t="n">
        <x:v>0</x:v>
      </x:c>
      <x:c r="H249" s="13" t="n">
        <x:v>18991833</x:v>
      </x:c>
      <x:c r="I249" s="12" t="str">
        <x:v>CNY</x:v>
      </x:c>
      <x:c r="J249" s="12" t="str">
        <x:v>SYNTHETIC</x:v>
      </x:c>
    </x:row>
    <x:row r="250" ht="38" customHeight="1">
      <x:c r="A250" s="12" t="str">
        <x:v>KS-INJECTION-1000-B0246</x:v>
      </x:c>
      <x:c r="B250" s="14" t="n">
        <x:v>45610</x:v>
      </x:c>
      <x:c r="C250" s="12" t="str">
        <x:v>KS-INJECTION-1000-S-202411-3</x:v>
      </x:c>
      <x:c r="D250" s="12" t="str">
        <x:v>模拟下游3</x:v>
      </x:c>
      <x:c r="E250" s="12" t="str">
        <x:v>销售回款</x:v>
      </x:c>
      <x:c r="F250" s="13" t="n">
        <x:v>1792963</x:v>
      </x:c>
      <x:c r="G250" s="13" t="n">
        <x:v>0</x:v>
      </x:c>
      <x:c r="H250" s="13" t="n">
        <x:v>20784796</x:v>
      </x:c>
      <x:c r="I250" s="12" t="str">
        <x:v>CNY</x:v>
      </x:c>
      <x:c r="J250" s="12" t="str">
        <x:v>SYNTHETIC</x:v>
      </x:c>
    </x:row>
    <x:row r="251" ht="38" customHeight="1">
      <x:c r="A251" s="12" t="str">
        <x:v>KS-INJECTION-1000-B0247</x:v>
      </x:c>
      <x:c r="B251" s="14" t="n">
        <x:v>45612</x:v>
      </x:c>
      <x:c r="C251" s="12" t="str">
        <x:v>KS-INJECTION-1000-P-202411-1</x:v>
      </x:c>
      <x:c r="D251" s="12" t="str">
        <x:v>模拟原料商1</x:v>
      </x:c>
      <x:c r="E251" s="12" t="str">
        <x:v>原料付款</x:v>
      </x:c>
      <x:c r="F251" s="13" t="n">
        <x:v>0</x:v>
      </x:c>
      <x:c r="G251" s="13" t="n">
        <x:v>1401771</x:v>
      </x:c>
      <x:c r="H251" s="13" t="n">
        <x:v>19383025</x:v>
      </x:c>
      <x:c r="I251" s="12" t="str">
        <x:v>CNY</x:v>
      </x:c>
      <x:c r="J251" s="12" t="str">
        <x:v>SYNTHETIC</x:v>
      </x:c>
    </x:row>
    <x:row r="252" ht="38" customHeight="1">
      <x:c r="A252" s="12" t="str">
        <x:v>KS-INJECTION-1000-B0248</x:v>
      </x:c>
      <x:c r="B252" s="14" t="n">
        <x:v>45613</x:v>
      </x:c>
      <x:c r="C252" s="12" t="str">
        <x:v>KS-INJECTION-1000-P-202411-2</x:v>
      </x:c>
      <x:c r="D252" s="12" t="str">
        <x:v>模拟原料商2</x:v>
      </x:c>
      <x:c r="E252" s="12" t="str">
        <x:v>原料付款</x:v>
      </x:c>
      <x:c r="F252" s="13" t="n">
        <x:v>0</x:v>
      </x:c>
      <x:c r="G252" s="13" t="n">
        <x:v>934514</x:v>
      </x:c>
      <x:c r="H252" s="13" t="n">
        <x:v>18448511</x:v>
      </x:c>
      <x:c r="I252" s="12" t="str">
        <x:v>CNY</x:v>
      </x:c>
      <x:c r="J252" s="12" t="str">
        <x:v>SYNTHETIC</x:v>
      </x:c>
    </x:row>
    <x:row r="253" ht="38" customHeight="1">
      <x:c r="A253" s="12" t="str">
        <x:v>KS-INJECTION-1000-B0249</x:v>
      </x:c>
      <x:c r="B253" s="14" t="n">
        <x:v>45621</x:v>
      </x:c>
      <x:c r="C253" s="12" t="str">
        <x:v>KS-INJECTION-1000-PAY-202411</x:v>
      </x:c>
      <x:c r="D253" s="12" t="str">
        <x:v>模拟工资代发</x:v>
      </x:c>
      <x:c r="E253" s="12" t="str">
        <x:v>工资</x:v>
      </x:c>
      <x:c r="F253" s="13" t="n">
        <x:v>0</x:v>
      </x:c>
      <x:c r="G253" s="13" t="n">
        <x:v>520000</x:v>
      </x:c>
      <x:c r="H253" s="13" t="n">
        <x:v>17928511</x:v>
      </x:c>
      <x:c r="I253" s="12" t="str">
        <x:v>CNY</x:v>
      </x:c>
      <x:c r="J253" s="12" t="str">
        <x:v>SYNTHETIC</x:v>
      </x:c>
    </x:row>
    <x:row r="254" ht="38" customHeight="1">
      <x:c r="A254" s="12" t="str">
        <x:v>KS-INJECTION-1000-B0250</x:v>
      </x:c>
      <x:c r="B254" s="14" t="n">
        <x:v>45621</x:v>
      </x:c>
      <x:c r="C254" s="12" t="str">
        <x:v>KS-INJECTION-1000-ELEC-202411</x:v>
      </x:c>
      <x:c r="D254" s="12" t="str">
        <x:v>模拟供电结算</x:v>
      </x:c>
      <x:c r="E254" s="12" t="str">
        <x:v>电费</x:v>
      </x:c>
      <x:c r="F254" s="13" t="n">
        <x:v>0</x:v>
      </x:c>
      <x:c r="G254" s="13" t="n">
        <x:v>275600</x:v>
      </x:c>
      <x:c r="H254" s="13" t="n">
        <x:v>17652911</x:v>
      </x:c>
      <x:c r="I254" s="12" t="str">
        <x:v>CNY</x:v>
      </x:c>
      <x:c r="J254" s="12" t="str">
        <x:v>SYNTHETIC</x:v>
      </x:c>
    </x:row>
    <x:row r="255" ht="38" customHeight="1">
      <x:c r="A255" s="12" t="str">
        <x:v>KS-INJECTION-1000-B0251</x:v>
      </x:c>
      <x:c r="B255" s="14" t="n">
        <x:v>45621</x:v>
      </x:c>
      <x:c r="C255" s="12" t="str">
        <x:v>KS-INJECTION-1000-OPEX-202411</x:v>
      </x:c>
      <x:c r="D255" s="12" t="str">
        <x:v>模拟费用结算</x:v>
      </x:c>
      <x:c r="E255" s="12" t="str">
        <x:v>管理销售费用</x:v>
      </x:c>
      <x:c r="F255" s="13" t="n">
        <x:v>0</x:v>
      </x:c>
      <x:c r="G255" s="13" t="n">
        <x:v>320000</x:v>
      </x:c>
      <x:c r="H255" s="13" t="n">
        <x:v>17332911</x:v>
      </x:c>
      <x:c r="I255" s="12" t="str">
        <x:v>CNY</x:v>
      </x:c>
      <x:c r="J255" s="12" t="str">
        <x:v>SYNTHETIC</x:v>
      </x:c>
    </x:row>
    <x:row r="256" ht="38" customHeight="1">
      <x:c r="A256" s="12" t="str">
        <x:v>KS-INJECTION-1000-B0252</x:v>
      </x:c>
      <x:c r="B256" s="14" t="n">
        <x:v>45621</x:v>
      </x:c>
      <x:c r="C256" s="12" t="str">
        <x:v>KS-INJECTION-1000-INT-202411</x:v>
      </x:c>
      <x:c r="D256" s="12" t="str">
        <x:v>模拟融资机构</x:v>
      </x:c>
      <x:c r="E256" s="12" t="str">
        <x:v>利息</x:v>
      </x:c>
      <x:c r="F256" s="13" t="n">
        <x:v>0</x:v>
      </x:c>
      <x:c r="G256" s="13" t="n">
        <x:v>25000</x:v>
      </x:c>
      <x:c r="H256" s="13" t="n">
        <x:v>17307911</x:v>
      </x:c>
      <x:c r="I256" s="12" t="str">
        <x:v>CNY</x:v>
      </x:c>
      <x:c r="J256" s="12" t="str">
        <x:v>SYNTHETIC</x:v>
      </x:c>
    </x:row>
    <x:row r="257" ht="38" customHeight="1">
      <x:c r="A257" s="12" t="str">
        <x:v>KS-INJECTION-1000-B0253</x:v>
      </x:c>
      <x:c r="B257" s="14" t="n">
        <x:v>45621</x:v>
      </x:c>
      <x:c r="C257" s="12" t="str">
        <x:v>KS-INJECTION-1000-VAT-202411</x:v>
      </x:c>
      <x:c r="D257" s="12" t="str">
        <x:v>模拟税费账户</x:v>
      </x:c>
      <x:c r="E257" s="12" t="str">
        <x:v>增值税</x:v>
      </x:c>
      <x:c r="F257" s="13" t="n">
        <x:v>0</x:v>
      </x:c>
      <x:c r="G257" s="13" t="n">
        <x:v>356285</x:v>
      </x:c>
      <x:c r="H257" s="13" t="n">
        <x:v>16951626</x:v>
      </x:c>
      <x:c r="I257" s="12" t="str">
        <x:v>CNY</x:v>
      </x:c>
      <x:c r="J257" s="12" t="str">
        <x:v>SYNTHETIC</x:v>
      </x:c>
    </x:row>
    <x:row r="258" ht="38" customHeight="1">
      <x:c r="A258" s="12" t="str">
        <x:v>KS-INJECTION-1000-B0254</x:v>
      </x:c>
      <x:c r="B258" s="14" t="n">
        <x:v>45621</x:v>
      </x:c>
      <x:c r="C258" s="12" t="str">
        <x:v>KS-INJECTION-1000-CIT-202411</x:v>
      </x:c>
      <x:c r="D258" s="12" t="str">
        <x:v>模拟税费账户</x:v>
      </x:c>
      <x:c r="E258" s="12" t="str">
        <x:v>所得税</x:v>
      </x:c>
      <x:c r="F258" s="13" t="n">
        <x:v>0</x:v>
      </x:c>
      <x:c r="G258" s="13" t="n">
        <x:v>355013</x:v>
      </x:c>
      <x:c r="H258" s="13" t="n">
        <x:v>16596613</x:v>
      </x:c>
      <x:c r="I258" s="12" t="str">
        <x:v>CNY</x:v>
      </x:c>
      <x:c r="J258" s="12" t="str">
        <x:v>SYNTHETIC</x:v>
      </x:c>
    </x:row>
    <x:row r="259" ht="38" customHeight="1">
      <x:c r="A259" s="12" t="str">
        <x:v>KS-INJECTION-1000-B0255</x:v>
      </x:c>
      <x:c r="B259" s="14" t="n">
        <x:v>45638</x:v>
      </x:c>
      <x:c r="C259" s="12" t="str">
        <x:v>KS-INJECTION-1000-S-202412-1</x:v>
      </x:c>
      <x:c r="D259" s="12" t="str">
        <x:v>模拟下游1</x:v>
      </x:c>
      <x:c r="E259" s="12" t="str">
        <x:v>销售回款</x:v>
      </x:c>
      <x:c r="F259" s="13" t="n">
        <x:v>1917004</x:v>
      </x:c>
      <x:c r="G259" s="13" t="n">
        <x:v>0</x:v>
      </x:c>
      <x:c r="H259" s="13" t="n">
        <x:v>18513617</x:v>
      </x:c>
      <x:c r="I259" s="12" t="str">
        <x:v>CNY</x:v>
      </x:c>
      <x:c r="J259" s="12" t="str">
        <x:v>SYNTHETIC</x:v>
      </x:c>
    </x:row>
    <x:row r="260" ht="38" customHeight="1">
      <x:c r="A260" s="12" t="str">
        <x:v>KS-INJECTION-1000-B0256</x:v>
      </x:c>
      <x:c r="B260" s="14" t="n">
        <x:v>45639</x:v>
      </x:c>
      <x:c r="C260" s="12" t="str">
        <x:v>KS-INJECTION-1000-S-202412-2</x:v>
      </x:c>
      <x:c r="D260" s="12" t="str">
        <x:v>模拟下游2</x:v>
      </x:c>
      <x:c r="E260" s="12" t="str">
        <x:v>销售回款</x:v>
      </x:c>
      <x:c r="F260" s="13" t="n">
        <x:v>1860622</x:v>
      </x:c>
      <x:c r="G260" s="13" t="n">
        <x:v>0</x:v>
      </x:c>
      <x:c r="H260" s="13" t="n">
        <x:v>20374239</x:v>
      </x:c>
      <x:c r="I260" s="12" t="str">
        <x:v>CNY</x:v>
      </x:c>
      <x:c r="J260" s="12" t="str">
        <x:v>SYNTHETIC</x:v>
      </x:c>
    </x:row>
    <x:row r="261" ht="38" customHeight="1">
      <x:c r="A261" s="12" t="str">
        <x:v>KS-INJECTION-1000-B0257</x:v>
      </x:c>
      <x:c r="B261" s="14" t="n">
        <x:v>45640</x:v>
      </x:c>
      <x:c r="C261" s="12" t="str">
        <x:v>KS-INJECTION-1000-S-202412-3</x:v>
      </x:c>
      <x:c r="D261" s="12" t="str">
        <x:v>模拟下游3</x:v>
      </x:c>
      <x:c r="E261" s="12" t="str">
        <x:v>销售回款</x:v>
      </x:c>
      <x:c r="F261" s="13" t="n">
        <x:v>1860622</x:v>
      </x:c>
      <x:c r="G261" s="13" t="n">
        <x:v>0</x:v>
      </x:c>
      <x:c r="H261" s="13" t="n">
        <x:v>22234861</x:v>
      </x:c>
      <x:c r="I261" s="12" t="str">
        <x:v>CNY</x:v>
      </x:c>
      <x:c r="J261" s="12" t="str">
        <x:v>SYNTHETIC</x:v>
      </x:c>
    </x:row>
    <x:row r="262" ht="38" customHeight="1">
      <x:c r="A262" s="12" t="str">
        <x:v>KS-INJECTION-1000-B0258</x:v>
      </x:c>
      <x:c r="B262" s="14" t="n">
        <x:v>45642</x:v>
      </x:c>
      <x:c r="C262" s="12" t="str">
        <x:v>KS-INJECTION-1000-P-202412-1</x:v>
      </x:c>
      <x:c r="D262" s="12" t="str">
        <x:v>模拟原料商1</x:v>
      </x:c>
      <x:c r="E262" s="12" t="str">
        <x:v>原料付款</x:v>
      </x:c>
      <x:c r="F262" s="13" t="n">
        <x:v>0</x:v>
      </x:c>
      <x:c r="G262" s="13" t="n">
        <x:v>1454668</x:v>
      </x:c>
      <x:c r="H262" s="13" t="n">
        <x:v>20780193</x:v>
      </x:c>
      <x:c r="I262" s="12" t="str">
        <x:v>CNY</x:v>
      </x:c>
      <x:c r="J262" s="12" t="str">
        <x:v>SYNTHETIC</x:v>
      </x:c>
    </x:row>
    <x:row r="263" ht="38" customHeight="1">
      <x:c r="A263" s="12" t="str">
        <x:v>KS-INJECTION-1000-B0259</x:v>
      </x:c>
      <x:c r="B263" s="14" t="n">
        <x:v>45643</x:v>
      </x:c>
      <x:c r="C263" s="12" t="str">
        <x:v>KS-INJECTION-1000-P-202412-2</x:v>
      </x:c>
      <x:c r="D263" s="12" t="str">
        <x:v>模拟原料商2</x:v>
      </x:c>
      <x:c r="E263" s="12" t="str">
        <x:v>原料付款</x:v>
      </x:c>
      <x:c r="F263" s="13" t="n">
        <x:v>0</x:v>
      </x:c>
      <x:c r="G263" s="13" t="n">
        <x:v>969779</x:v>
      </x:c>
      <x:c r="H263" s="13" t="n">
        <x:v>19810414</x:v>
      </x:c>
      <x:c r="I263" s="12" t="str">
        <x:v>CNY</x:v>
      </x:c>
      <x:c r="J263" s="12" t="str">
        <x:v>SYNTHETIC</x:v>
      </x:c>
    </x:row>
    <x:row r="264" ht="38" customHeight="1">
      <x:c r="A264" s="12" t="str">
        <x:v>KS-INJECTION-1000-B0260</x:v>
      </x:c>
      <x:c r="B264" s="14" t="n">
        <x:v>45651</x:v>
      </x:c>
      <x:c r="C264" s="12" t="str">
        <x:v>KS-INJECTION-1000-PAY-202412</x:v>
      </x:c>
      <x:c r="D264" s="12" t="str">
        <x:v>模拟工资代发</x:v>
      </x:c>
      <x:c r="E264" s="12" t="str">
        <x:v>工资</x:v>
      </x:c>
      <x:c r="F264" s="13" t="n">
        <x:v>0</x:v>
      </x:c>
      <x:c r="G264" s="13" t="n">
        <x:v>520000</x:v>
      </x:c>
      <x:c r="H264" s="13" t="n">
        <x:v>19290414</x:v>
      </x:c>
      <x:c r="I264" s="12" t="str">
        <x:v>CNY</x:v>
      </x:c>
      <x:c r="J264" s="12" t="str">
        <x:v>SYNTHETIC</x:v>
      </x:c>
    </x:row>
    <x:row r="265" ht="38" customHeight="1">
      <x:c r="A265" s="12" t="str">
        <x:v>KS-INJECTION-1000-B0261</x:v>
      </x:c>
      <x:c r="B265" s="14" t="n">
        <x:v>45651</x:v>
      </x:c>
      <x:c r="C265" s="12" t="str">
        <x:v>KS-INJECTION-1000-ELEC-202412</x:v>
      </x:c>
      <x:c r="D265" s="12" t="str">
        <x:v>模拟供电结算</x:v>
      </x:c>
      <x:c r="E265" s="12" t="str">
        <x:v>电费</x:v>
      </x:c>
      <x:c r="F265" s="13" t="n">
        <x:v>0</x:v>
      </x:c>
      <x:c r="G265" s="13" t="n">
        <x:v>286000</x:v>
      </x:c>
      <x:c r="H265" s="13" t="n">
        <x:v>19004414</x:v>
      </x:c>
      <x:c r="I265" s="12" t="str">
        <x:v>CNY</x:v>
      </x:c>
      <x:c r="J265" s="12" t="str">
        <x:v>SYNTHETIC</x:v>
      </x:c>
    </x:row>
    <x:row r="266" ht="38" customHeight="1">
      <x:c r="A266" s="12" t="str">
        <x:v>KS-INJECTION-1000-B0262</x:v>
      </x:c>
      <x:c r="B266" s="14" t="n">
        <x:v>45651</x:v>
      </x:c>
      <x:c r="C266" s="12" t="str">
        <x:v>KS-INJECTION-1000-OPEX-202412</x:v>
      </x:c>
      <x:c r="D266" s="12" t="str">
        <x:v>模拟费用结算</x:v>
      </x:c>
      <x:c r="E266" s="12" t="str">
        <x:v>管理销售费用</x:v>
      </x:c>
      <x:c r="F266" s="13" t="n">
        <x:v>0</x:v>
      </x:c>
      <x:c r="G266" s="13" t="n">
        <x:v>320000</x:v>
      </x:c>
      <x:c r="H266" s="13" t="n">
        <x:v>18684414</x:v>
      </x:c>
      <x:c r="I266" s="12" t="str">
        <x:v>CNY</x:v>
      </x:c>
      <x:c r="J266" s="12" t="str">
        <x:v>SYNTHETIC</x:v>
      </x:c>
    </x:row>
    <x:row r="267" ht="38" customHeight="1">
      <x:c r="A267" s="12" t="str">
        <x:v>KS-INJECTION-1000-B0263</x:v>
      </x:c>
      <x:c r="B267" s="14" t="n">
        <x:v>45651</x:v>
      </x:c>
      <x:c r="C267" s="12" t="str">
        <x:v>KS-INJECTION-1000-INT-202412</x:v>
      </x:c>
      <x:c r="D267" s="12" t="str">
        <x:v>模拟融资机构</x:v>
      </x:c>
      <x:c r="E267" s="12" t="str">
        <x:v>利息</x:v>
      </x:c>
      <x:c r="F267" s="13" t="n">
        <x:v>0</x:v>
      </x:c>
      <x:c r="G267" s="13" t="n">
        <x:v>25000</x:v>
      </x:c>
      <x:c r="H267" s="13" t="n">
        <x:v>18659414</x:v>
      </x:c>
      <x:c r="I267" s="12" t="str">
        <x:v>CNY</x:v>
      </x:c>
      <x:c r="J267" s="12" t="str">
        <x:v>SYNTHETIC</x:v>
      </x:c>
    </x:row>
    <x:row r="268" ht="38" customHeight="1">
      <x:c r="A268" s="12" t="str">
        <x:v>KS-INJECTION-1000-B0264</x:v>
      </x:c>
      <x:c r="B268" s="14" t="n">
        <x:v>45651</x:v>
      </x:c>
      <x:c r="C268" s="12" t="str">
        <x:v>KS-INJECTION-1000-VAT-202412</x:v>
      </x:c>
      <x:c r="D268" s="12" t="str">
        <x:v>模拟税费账户</x:v>
      </x:c>
      <x:c r="E268" s="12" t="str">
        <x:v>增值税</x:v>
      </x:c>
      <x:c r="F268" s="13" t="n">
        <x:v>0</x:v>
      </x:c>
      <x:c r="G268" s="13" t="n">
        <x:v>369729</x:v>
      </x:c>
      <x:c r="H268" s="13" t="n">
        <x:v>18289685</x:v>
      </x:c>
      <x:c r="I268" s="12" t="str">
        <x:v>CNY</x:v>
      </x:c>
      <x:c r="J268" s="12" t="str">
        <x:v>SYNTHETIC</x:v>
      </x:c>
    </x:row>
    <x:row r="269" ht="38" customHeight="1">
      <x:c r="A269" s="12" t="str">
        <x:v>KS-INJECTION-1000-B0265</x:v>
      </x:c>
      <x:c r="B269" s="14" t="n">
        <x:v>45651</x:v>
      </x:c>
      <x:c r="C269" s="12" t="str">
        <x:v>KS-INJECTION-1000-CIT-202412</x:v>
      </x:c>
      <x:c r="D269" s="12" t="str">
        <x:v>模拟税费账户</x:v>
      </x:c>
      <x:c r="E269" s="12" t="str">
        <x:v>所得税</x:v>
      </x:c>
      <x:c r="F269" s="13" t="n">
        <x:v>0</x:v>
      </x:c>
      <x:c r="G269" s="13" t="n">
        <x:v>378268</x:v>
      </x:c>
      <x:c r="H269" s="13" t="n">
        <x:v>17911417</x:v>
      </x:c>
      <x:c r="I269" s="12" t="str">
        <x:v>CNY</x:v>
      </x:c>
      <x:c r="J269" s="12" t="str">
        <x:v>SYNTHETIC</x:v>
      </x:c>
    </x:row>
    <x:row r="270" ht="38" customHeight="1">
      <x:c r="A270" s="12" t="str">
        <x:v>KS-INJECTION-1000-B0266</x:v>
      </x:c>
      <x:c r="B270" s="14" t="n">
        <x:v>45654</x:v>
      </x:c>
      <x:c r="C270" s="12" t="str">
        <x:v>KS-INJECTION-1000-DIV-2024</x:v>
      </x:c>
      <x:c r="D270" s="12" t="str">
        <x:v>模拟股东</x:v>
      </x:c>
      <x:c r="E270" s="12" t="str">
        <x:v>利润分配（筹资）</x:v>
      </x:c>
      <x:c r="F270" s="13" t="n">
        <x:v>0</x:v>
      </x:c>
      <x:c r="G270" s="13" t="n">
        <x:v>13911417</x:v>
      </x:c>
      <x:c r="H270" s="13" t="n">
        <x:v>4000000</x:v>
      </x:c>
      <x:c r="I270" s="12" t="str">
        <x:v>CNY</x:v>
      </x:c>
      <x:c r="J270" s="12" t="str">
        <x:v>SYNTHETIC</x:v>
      </x:c>
    </x:row>
    <x:row r="271" ht="38" customHeight="1">
      <x:c r="A271" s="12" t="str">
        <x:v>KS-INJECTION-1000-B0267</x:v>
      </x:c>
      <x:c r="B271" s="14" t="n">
        <x:v>45669</x:v>
      </x:c>
      <x:c r="C271" s="12" t="str">
        <x:v>KS-INJECTION-1000-S-202501-1</x:v>
      </x:c>
      <x:c r="D271" s="12" t="str">
        <x:v>模拟下游1</x:v>
      </x:c>
      <x:c r="E271" s="12" t="str">
        <x:v>销售回款</x:v>
      </x:c>
      <x:c r="F271" s="13" t="n">
        <x:v>1505720</x:v>
      </x:c>
      <x:c r="G271" s="13" t="n">
        <x:v>0</x:v>
      </x:c>
      <x:c r="H271" s="13" t="n">
        <x:v>5505720</x:v>
      </x:c>
      <x:c r="I271" s="12" t="str">
        <x:v>CNY</x:v>
      </x:c>
      <x:c r="J271" s="12" t="str">
        <x:v>SYNTHETIC</x:v>
      </x:c>
    </x:row>
    <x:row r="272" ht="38" customHeight="1">
      <x:c r="A272" s="12" t="str">
        <x:v>KS-INJECTION-1000-B0268</x:v>
      </x:c>
      <x:c r="B272" s="14" t="n">
        <x:v>45670</x:v>
      </x:c>
      <x:c r="C272" s="12" t="str">
        <x:v>KS-INJECTION-1000-S-202501-2</x:v>
      </x:c>
      <x:c r="D272" s="12" t="str">
        <x:v>模拟下游2</x:v>
      </x:c>
      <x:c r="E272" s="12" t="str">
        <x:v>销售回款</x:v>
      </x:c>
      <x:c r="F272" s="13" t="n">
        <x:v>1461434</x:v>
      </x:c>
      <x:c r="G272" s="13" t="n">
        <x:v>0</x:v>
      </x:c>
      <x:c r="H272" s="13" t="n">
        <x:v>6967154</x:v>
      </x:c>
      <x:c r="I272" s="12" t="str">
        <x:v>CNY</x:v>
      </x:c>
      <x:c r="J272" s="12" t="str">
        <x:v>SYNTHETIC</x:v>
      </x:c>
    </x:row>
    <x:row r="273" ht="38" customHeight="1">
      <x:c r="A273" s="12" t="str">
        <x:v>KS-INJECTION-1000-B0269</x:v>
      </x:c>
      <x:c r="B273" s="14" t="n">
        <x:v>45671</x:v>
      </x:c>
      <x:c r="C273" s="12" t="str">
        <x:v>KS-INJECTION-1000-S-202501-3</x:v>
      </x:c>
      <x:c r="D273" s="12" t="str">
        <x:v>模拟下游3</x:v>
      </x:c>
      <x:c r="E273" s="12" t="str">
        <x:v>销售回款</x:v>
      </x:c>
      <x:c r="F273" s="13" t="n">
        <x:v>1461434</x:v>
      </x:c>
      <x:c r="G273" s="13" t="n">
        <x:v>0</x:v>
      </x:c>
      <x:c r="H273" s="13" t="n">
        <x:v>8428588</x:v>
      </x:c>
      <x:c r="I273" s="12" t="str">
        <x:v>CNY</x:v>
      </x:c>
      <x:c r="J273" s="12" t="str">
        <x:v>SYNTHETIC</x:v>
      </x:c>
    </x:row>
    <x:row r="274" ht="38" customHeight="1">
      <x:c r="A274" s="12" t="str">
        <x:v>KS-INJECTION-1000-B0270</x:v>
      </x:c>
      <x:c r="B274" s="14" t="n">
        <x:v>45673</x:v>
      </x:c>
      <x:c r="C274" s="12" t="str">
        <x:v>KS-INJECTION-1000-P-202501-1</x:v>
      </x:c>
      <x:c r="D274" s="12" t="str">
        <x:v>模拟原料商1</x:v>
      </x:c>
      <x:c r="E274" s="12" t="str">
        <x:v>原料付款</x:v>
      </x:c>
      <x:c r="F274" s="13" t="n">
        <x:v>0</x:v>
      </x:c>
      <x:c r="G274" s="13" t="n">
        <x:v>1142576</x:v>
      </x:c>
      <x:c r="H274" s="13" t="n">
        <x:v>7286012</x:v>
      </x:c>
      <x:c r="I274" s="12" t="str">
        <x:v>CNY</x:v>
      </x:c>
      <x:c r="J274" s="12" t="str">
        <x:v>SYNTHETIC</x:v>
      </x:c>
    </x:row>
    <x:row r="275" ht="38" customHeight="1">
      <x:c r="A275" s="12" t="str">
        <x:v>KS-INJECTION-1000-B0271</x:v>
      </x:c>
      <x:c r="B275" s="14" t="n">
        <x:v>45674</x:v>
      </x:c>
      <x:c r="C275" s="12" t="str">
        <x:v>KS-INJECTION-1000-P-202501-2</x:v>
      </x:c>
      <x:c r="D275" s="12" t="str">
        <x:v>模拟原料商2</x:v>
      </x:c>
      <x:c r="E275" s="12" t="str">
        <x:v>原料付款</x:v>
      </x:c>
      <x:c r="F275" s="13" t="n">
        <x:v>0</x:v>
      </x:c>
      <x:c r="G275" s="13" t="n">
        <x:v>761717</x:v>
      </x:c>
      <x:c r="H275" s="13" t="n">
        <x:v>6524295</x:v>
      </x:c>
      <x:c r="I275" s="12" t="str">
        <x:v>CNY</x:v>
      </x:c>
      <x:c r="J275" s="12" t="str">
        <x:v>SYNTHETIC</x:v>
      </x:c>
    </x:row>
    <x:row r="276" ht="38" customHeight="1">
      <x:c r="A276" s="12" t="str">
        <x:v>KS-INJECTION-1000-B0272</x:v>
      </x:c>
      <x:c r="B276" s="14" t="n">
        <x:v>45682</x:v>
      </x:c>
      <x:c r="C276" s="12" t="str">
        <x:v>KS-INJECTION-1000-PAY-202501</x:v>
      </x:c>
      <x:c r="D276" s="12" t="str">
        <x:v>模拟工资代发</x:v>
      </x:c>
      <x:c r="E276" s="12" t="str">
        <x:v>工资</x:v>
      </x:c>
      <x:c r="F276" s="13" t="n">
        <x:v>0</x:v>
      </x:c>
      <x:c r="G276" s="13" t="n">
        <x:v>520000</x:v>
      </x:c>
      <x:c r="H276" s="13" t="n">
        <x:v>6004295</x:v>
      </x:c>
      <x:c r="I276" s="12" t="str">
        <x:v>CNY</x:v>
      </x:c>
      <x:c r="J276" s="12" t="str">
        <x:v>SYNTHETIC</x:v>
      </x:c>
    </x:row>
    <x:row r="277" ht="38" customHeight="1">
      <x:c r="A277" s="12" t="str">
        <x:v>KS-INJECTION-1000-B0273</x:v>
      </x:c>
      <x:c r="B277" s="14" t="n">
        <x:v>45682</x:v>
      </x:c>
      <x:c r="C277" s="12" t="str">
        <x:v>KS-INJECTION-1000-ELEC-202501</x:v>
      </x:c>
      <x:c r="D277" s="12" t="str">
        <x:v>模拟供电结算</x:v>
      </x:c>
      <x:c r="E277" s="12" t="str">
        <x:v>电费</x:v>
      </x:c>
      <x:c r="F277" s="13" t="n">
        <x:v>0</x:v>
      </x:c>
      <x:c r="G277" s="13" t="n">
        <x:v>208000</x:v>
      </x:c>
      <x:c r="H277" s="13" t="n">
        <x:v>5796295</x:v>
      </x:c>
      <x:c r="I277" s="12" t="str">
        <x:v>CNY</x:v>
      </x:c>
      <x:c r="J277" s="12" t="str">
        <x:v>SYNTHETIC</x:v>
      </x:c>
    </x:row>
    <x:row r="278" ht="38" customHeight="1">
      <x:c r="A278" s="12" t="str">
        <x:v>KS-INJECTION-1000-B0274</x:v>
      </x:c>
      <x:c r="B278" s="14" t="n">
        <x:v>45682</x:v>
      </x:c>
      <x:c r="C278" s="12" t="str">
        <x:v>KS-INJECTION-1000-OPEX-202501</x:v>
      </x:c>
      <x:c r="D278" s="12" t="str">
        <x:v>模拟费用结算</x:v>
      </x:c>
      <x:c r="E278" s="12" t="str">
        <x:v>管理销售费用</x:v>
      </x:c>
      <x:c r="F278" s="13" t="n">
        <x:v>0</x:v>
      </x:c>
      <x:c r="G278" s="13" t="n">
        <x:v>320000</x:v>
      </x:c>
      <x:c r="H278" s="13" t="n">
        <x:v>5476295</x:v>
      </x:c>
      <x:c r="I278" s="12" t="str">
        <x:v>CNY</x:v>
      </x:c>
      <x:c r="J278" s="12" t="str">
        <x:v>SYNTHETIC</x:v>
      </x:c>
    </x:row>
    <x:row r="279" ht="38" customHeight="1">
      <x:c r="A279" s="12" t="str">
        <x:v>KS-INJECTION-1000-B0275</x:v>
      </x:c>
      <x:c r="B279" s="14" t="n">
        <x:v>45682</x:v>
      </x:c>
      <x:c r="C279" s="12" t="str">
        <x:v>KS-INJECTION-1000-INT-202501</x:v>
      </x:c>
      <x:c r="D279" s="12" t="str">
        <x:v>模拟融资机构</x:v>
      </x:c>
      <x:c r="E279" s="12" t="str">
        <x:v>利息</x:v>
      </x:c>
      <x:c r="F279" s="13" t="n">
        <x:v>0</x:v>
      </x:c>
      <x:c r="G279" s="13" t="n">
        <x:v>25000</x:v>
      </x:c>
      <x:c r="H279" s="13" t="n">
        <x:v>5451295</x:v>
      </x:c>
      <x:c r="I279" s="12" t="str">
        <x:v>CNY</x:v>
      </x:c>
      <x:c r="J279" s="12" t="str">
        <x:v>SYNTHETIC</x:v>
      </x:c>
    </x:row>
    <x:row r="280" ht="38" customHeight="1">
      <x:c r="A280" s="12" t="str">
        <x:v>KS-INJECTION-1000-B0276</x:v>
      </x:c>
      <x:c r="B280" s="14" t="n">
        <x:v>45682</x:v>
      </x:c>
      <x:c r="C280" s="12" t="str">
        <x:v>KS-INJECTION-1000-VAT-202501</x:v>
      </x:c>
      <x:c r="D280" s="12" t="str">
        <x:v>模拟税费账户</x:v>
      </x:c>
      <x:c r="E280" s="12" t="str">
        <x:v>增值税</x:v>
      </x:c>
      <x:c r="F280" s="13" t="n">
        <x:v>0</x:v>
      </x:c>
      <x:c r="G280" s="13" t="n">
        <x:v>290406</x:v>
      </x:c>
      <x:c r="H280" s="13" t="n">
        <x:v>5160889</x:v>
      </x:c>
      <x:c r="I280" s="12" t="str">
        <x:v>CNY</x:v>
      </x:c>
      <x:c r="J280" s="12" t="str">
        <x:v>SYNTHETIC</x:v>
      </x:c>
    </x:row>
    <x:row r="281" ht="38" customHeight="1">
      <x:c r="A281" s="12" t="str">
        <x:v>KS-INJECTION-1000-B0277</x:v>
      </x:c>
      <x:c r="B281" s="14" t="n">
        <x:v>45682</x:v>
      </x:c>
      <x:c r="C281" s="12" t="str">
        <x:v>KS-INJECTION-1000-CIT-202501</x:v>
      </x:c>
      <x:c r="D281" s="12" t="str">
        <x:v>模拟税费账户</x:v>
      </x:c>
      <x:c r="E281" s="12" t="str">
        <x:v>所得税</x:v>
      </x:c>
      <x:c r="F281" s="13" t="n">
        <x:v>0</x:v>
      </x:c>
      <x:c r="G281" s="13" t="n">
        <x:v>245222</x:v>
      </x:c>
      <x:c r="H281" s="13" t="n">
        <x:v>4915667</x:v>
      </x:c>
      <x:c r="I281" s="12" t="str">
        <x:v>CNY</x:v>
      </x:c>
      <x:c r="J281" s="12" t="str">
        <x:v>SYNTHETIC</x:v>
      </x:c>
    </x:row>
    <x:row r="282" ht="38" customHeight="1">
      <x:c r="A282" s="12" t="str">
        <x:v>KS-INJECTION-1000-B0278</x:v>
      </x:c>
      <x:c r="B282" s="14" t="n">
        <x:v>45700</x:v>
      </x:c>
      <x:c r="C282" s="12" t="str">
        <x:v>KS-INJECTION-1000-S-202502-1</x:v>
      </x:c>
      <x:c r="D282" s="12" t="str">
        <x:v>模拟下游1</x:v>
      </x:c>
      <x:c r="E282" s="12" t="str">
        <x:v>销售回款</x:v>
      </x:c>
      <x:c r="F282" s="13" t="n">
        <x:v>1355149</x:v>
      </x:c>
      <x:c r="G282" s="13" t="n">
        <x:v>0</x:v>
      </x:c>
      <x:c r="H282" s="13" t="n">
        <x:v>6270816</x:v>
      </x:c>
      <x:c r="I282" s="12" t="str">
        <x:v>CNY</x:v>
      </x:c>
      <x:c r="J282" s="12" t="str">
        <x:v>SYNTHETIC</x:v>
      </x:c>
    </x:row>
    <x:row r="283" ht="38" customHeight="1">
      <x:c r="A283" s="12" t="str">
        <x:v>KS-INJECTION-1000-B0279</x:v>
      </x:c>
      <x:c r="B283" s="14" t="n">
        <x:v>45701</x:v>
      </x:c>
      <x:c r="C283" s="12" t="str">
        <x:v>KS-INJECTION-1000-S-202502-2</x:v>
      </x:c>
      <x:c r="D283" s="12" t="str">
        <x:v>模拟下游2</x:v>
      </x:c>
      <x:c r="E283" s="12" t="str">
        <x:v>销售回款</x:v>
      </x:c>
      <x:c r="F283" s="13" t="n">
        <x:v>1315292</x:v>
      </x:c>
      <x:c r="G283" s="13" t="n">
        <x:v>0</x:v>
      </x:c>
      <x:c r="H283" s="13" t="n">
        <x:v>7586108</x:v>
      </x:c>
      <x:c r="I283" s="12" t="str">
        <x:v>CNY</x:v>
      </x:c>
      <x:c r="J283" s="12" t="str">
        <x:v>SYNTHETIC</x:v>
      </x:c>
    </x:row>
    <x:row r="284" ht="38" customHeight="1">
      <x:c r="A284" s="12" t="str">
        <x:v>KS-INJECTION-1000-B0280</x:v>
      </x:c>
      <x:c r="B284" s="14" t="n">
        <x:v>45702</x:v>
      </x:c>
      <x:c r="C284" s="12" t="str">
        <x:v>KS-INJECTION-1000-S-202502-3</x:v>
      </x:c>
      <x:c r="D284" s="12" t="str">
        <x:v>模拟下游3</x:v>
      </x:c>
      <x:c r="E284" s="12" t="str">
        <x:v>销售回款</x:v>
      </x:c>
      <x:c r="F284" s="13" t="n">
        <x:v>1315290</x:v>
      </x:c>
      <x:c r="G284" s="13" t="n">
        <x:v>0</x:v>
      </x:c>
      <x:c r="H284" s="13" t="n">
        <x:v>8901398</x:v>
      </x:c>
      <x:c r="I284" s="12" t="str">
        <x:v>CNY</x:v>
      </x:c>
      <x:c r="J284" s="12" t="str">
        <x:v>SYNTHETIC</x:v>
      </x:c>
    </x:row>
    <x:row r="285" ht="38" customHeight="1">
      <x:c r="A285" s="12" t="str">
        <x:v>KS-INJECTION-1000-B0281</x:v>
      </x:c>
      <x:c r="B285" s="14" t="n">
        <x:v>45704</x:v>
      </x:c>
      <x:c r="C285" s="12" t="str">
        <x:v>KS-INJECTION-1000-P-202502-1</x:v>
      </x:c>
      <x:c r="D285" s="12" t="str">
        <x:v>模拟原料商1</x:v>
      </x:c>
      <x:c r="E285" s="12" t="str">
        <x:v>原料付款</x:v>
      </x:c>
      <x:c r="F285" s="13" t="n">
        <x:v>0</x:v>
      </x:c>
      <x:c r="G285" s="13" t="n">
        <x:v>1028318</x:v>
      </x:c>
      <x:c r="H285" s="13" t="n">
        <x:v>7873080</x:v>
      </x:c>
      <x:c r="I285" s="12" t="str">
        <x:v>CNY</x:v>
      </x:c>
      <x:c r="J285" s="12" t="str">
        <x:v>SYNTHETIC</x:v>
      </x:c>
    </x:row>
    <x:row r="286" ht="38" customHeight="1">
      <x:c r="A286" s="12" t="str">
        <x:v>KS-INJECTION-1000-B0282</x:v>
      </x:c>
      <x:c r="B286" s="14" t="n">
        <x:v>45705</x:v>
      </x:c>
      <x:c r="C286" s="12" t="str">
        <x:v>KS-INJECTION-1000-P-202502-2</x:v>
      </x:c>
      <x:c r="D286" s="12" t="str">
        <x:v>模拟原料商2</x:v>
      </x:c>
      <x:c r="E286" s="12" t="str">
        <x:v>原料付款</x:v>
      </x:c>
      <x:c r="F286" s="13" t="n">
        <x:v>0</x:v>
      </x:c>
      <x:c r="G286" s="13" t="n">
        <x:v>685546</x:v>
      </x:c>
      <x:c r="H286" s="13" t="n">
        <x:v>7187534</x:v>
      </x:c>
      <x:c r="I286" s="12" t="str">
        <x:v>CNY</x:v>
      </x:c>
      <x:c r="J286" s="12" t="str">
        <x:v>SYNTHETIC</x:v>
      </x:c>
    </x:row>
    <x:row r="287" ht="38" customHeight="1">
      <x:c r="A287" s="12" t="str">
        <x:v>KS-INJECTION-1000-B0283</x:v>
      </x:c>
      <x:c r="B287" s="14" t="n">
        <x:v>45713</x:v>
      </x:c>
      <x:c r="C287" s="12" t="str">
        <x:v>KS-INJECTION-1000-PAY-202502</x:v>
      </x:c>
      <x:c r="D287" s="12" t="str">
        <x:v>模拟工资代发</x:v>
      </x:c>
      <x:c r="E287" s="12" t="str">
        <x:v>工资</x:v>
      </x:c>
      <x:c r="F287" s="13" t="n">
        <x:v>0</x:v>
      </x:c>
      <x:c r="G287" s="13" t="n">
        <x:v>520000</x:v>
      </x:c>
      <x:c r="H287" s="13" t="n">
        <x:v>6667534</x:v>
      </x:c>
      <x:c r="I287" s="12" t="str">
        <x:v>CNY</x:v>
      </x:c>
      <x:c r="J287" s="12" t="str">
        <x:v>SYNTHETIC</x:v>
      </x:c>
    </x:row>
    <x:row r="288" ht="38" customHeight="1">
      <x:c r="A288" s="12" t="str">
        <x:v>KS-INJECTION-1000-B0284</x:v>
      </x:c>
      <x:c r="B288" s="14" t="n">
        <x:v>45713</x:v>
      </x:c>
      <x:c r="C288" s="12" t="str">
        <x:v>KS-INJECTION-1000-ELEC-202502</x:v>
      </x:c>
      <x:c r="D288" s="12" t="str">
        <x:v>模拟供电结算</x:v>
      </x:c>
      <x:c r="E288" s="12" t="str">
        <x:v>电费</x:v>
      </x:c>
      <x:c r="F288" s="13" t="n">
        <x:v>0</x:v>
      </x:c>
      <x:c r="G288" s="13" t="n">
        <x:v>187200</x:v>
      </x:c>
      <x:c r="H288" s="13" t="n">
        <x:v>6480334</x:v>
      </x:c>
      <x:c r="I288" s="12" t="str">
        <x:v>CNY</x:v>
      </x:c>
      <x:c r="J288" s="12" t="str">
        <x:v>SYNTHETIC</x:v>
      </x:c>
    </x:row>
    <x:row r="289" ht="38" customHeight="1">
      <x:c r="A289" s="12" t="str">
        <x:v>KS-INJECTION-1000-B0285</x:v>
      </x:c>
      <x:c r="B289" s="14" t="n">
        <x:v>45713</x:v>
      </x:c>
      <x:c r="C289" s="12" t="str">
        <x:v>KS-INJECTION-1000-OPEX-202502</x:v>
      </x:c>
      <x:c r="D289" s="12" t="str">
        <x:v>模拟费用结算</x:v>
      </x:c>
      <x:c r="E289" s="12" t="str">
        <x:v>管理销售费用</x:v>
      </x:c>
      <x:c r="F289" s="13" t="n">
        <x:v>0</x:v>
      </x:c>
      <x:c r="G289" s="13" t="n">
        <x:v>320000</x:v>
      </x:c>
      <x:c r="H289" s="13" t="n">
        <x:v>6160334</x:v>
      </x:c>
      <x:c r="I289" s="12" t="str">
        <x:v>CNY</x:v>
      </x:c>
      <x:c r="J289" s="12" t="str">
        <x:v>SYNTHETIC</x:v>
      </x:c>
    </x:row>
    <x:row r="290" ht="38" customHeight="1">
      <x:c r="A290" s="12" t="str">
        <x:v>KS-INJECTION-1000-B0286</x:v>
      </x:c>
      <x:c r="B290" s="14" t="n">
        <x:v>45713</x:v>
      </x:c>
      <x:c r="C290" s="12" t="str">
        <x:v>KS-INJECTION-1000-INT-202502</x:v>
      </x:c>
      <x:c r="D290" s="12" t="str">
        <x:v>模拟融资机构</x:v>
      </x:c>
      <x:c r="E290" s="12" t="str">
        <x:v>利息</x:v>
      </x:c>
      <x:c r="F290" s="13" t="n">
        <x:v>0</x:v>
      </x:c>
      <x:c r="G290" s="13" t="n">
        <x:v>25000</x:v>
      </x:c>
      <x:c r="H290" s="13" t="n">
        <x:v>6135334</x:v>
      </x:c>
      <x:c r="I290" s="12" t="str">
        <x:v>CNY</x:v>
      </x:c>
      <x:c r="J290" s="12" t="str">
        <x:v>SYNTHETIC</x:v>
      </x:c>
    </x:row>
    <x:row r="291" ht="38" customHeight="1">
      <x:c r="A291" s="12" t="str">
        <x:v>KS-INJECTION-1000-B0287</x:v>
      </x:c>
      <x:c r="B291" s="14" t="n">
        <x:v>45713</x:v>
      </x:c>
      <x:c r="C291" s="12" t="str">
        <x:v>KS-INJECTION-1000-VAT-202502</x:v>
      </x:c>
      <x:c r="D291" s="12" t="str">
        <x:v>模拟税费账户</x:v>
      </x:c>
      <x:c r="E291" s="12" t="str">
        <x:v>增值税</x:v>
      </x:c>
      <x:c r="F291" s="13" t="n">
        <x:v>0</x:v>
      </x:c>
      <x:c r="G291" s="13" t="n">
        <x:v>261365</x:v>
      </x:c>
      <x:c r="H291" s="13" t="n">
        <x:v>5873969</x:v>
      </x:c>
      <x:c r="I291" s="12" t="str">
        <x:v>CNY</x:v>
      </x:c>
      <x:c r="J291" s="12" t="str">
        <x:v>SYNTHETIC</x:v>
      </x:c>
    </x:row>
    <x:row r="292" ht="38" customHeight="1">
      <x:c r="A292" s="12" t="str">
        <x:v>KS-INJECTION-1000-B0288</x:v>
      </x:c>
      <x:c r="B292" s="14" t="n">
        <x:v>45713</x:v>
      </x:c>
      <x:c r="C292" s="12" t="str">
        <x:v>KS-INJECTION-1000-CIT-202502</x:v>
      </x:c>
      <x:c r="D292" s="12" t="str">
        <x:v>模拟税费账户</x:v>
      </x:c>
      <x:c r="E292" s="12" t="str">
        <x:v>所得税</x:v>
      </x:c>
      <x:c r="F292" s="13" t="n">
        <x:v>0</x:v>
      </x:c>
      <x:c r="G292" s="13" t="n">
        <x:v>194576</x:v>
      </x:c>
      <x:c r="H292" s="13" t="n">
        <x:v>5679393</x:v>
      </x:c>
      <x:c r="I292" s="12" t="str">
        <x:v>CNY</x:v>
      </x:c>
      <x:c r="J292" s="12" t="str">
        <x:v>SYNTHETIC</x:v>
      </x:c>
    </x:row>
    <x:row r="293" ht="38" customHeight="1">
      <x:c r="A293" s="12" t="str">
        <x:v>KS-INJECTION-1000-B0289</x:v>
      </x:c>
      <x:c r="B293" s="14" t="n">
        <x:v>45728</x:v>
      </x:c>
      <x:c r="C293" s="12" t="str">
        <x:v>KS-INJECTION-1000-S-202503-1</x:v>
      </x:c>
      <x:c r="D293" s="12" t="str">
        <x:v>模拟下游1</x:v>
      </x:c>
      <x:c r="E293" s="12" t="str">
        <x:v>销售回款</x:v>
      </x:c>
      <x:c r="F293" s="13" t="n">
        <x:v>1919793</x:v>
      </x:c>
      <x:c r="G293" s="13" t="n">
        <x:v>0</x:v>
      </x:c>
      <x:c r="H293" s="13" t="n">
        <x:v>7599186</x:v>
      </x:c>
      <x:c r="I293" s="12" t="str">
        <x:v>CNY</x:v>
      </x:c>
      <x:c r="J293" s="12" t="str">
        <x:v>SYNTHETIC</x:v>
      </x:c>
    </x:row>
    <x:row r="294" ht="38" customHeight="1">
      <x:c r="A294" s="12" t="str">
        <x:v>KS-INJECTION-1000-B0290</x:v>
      </x:c>
      <x:c r="B294" s="14" t="n">
        <x:v>45729</x:v>
      </x:c>
      <x:c r="C294" s="12" t="str">
        <x:v>KS-INJECTION-1000-S-202503-2</x:v>
      </x:c>
      <x:c r="D294" s="12" t="str">
        <x:v>模拟下游2</x:v>
      </x:c>
      <x:c r="E294" s="12" t="str">
        <x:v>销售回款</x:v>
      </x:c>
      <x:c r="F294" s="13" t="n">
        <x:v>1863329</x:v>
      </x:c>
      <x:c r="G294" s="13" t="n">
        <x:v>0</x:v>
      </x:c>
      <x:c r="H294" s="13" t="n">
        <x:v>9462515</x:v>
      </x:c>
      <x:c r="I294" s="12" t="str">
        <x:v>CNY</x:v>
      </x:c>
      <x:c r="J294" s="12" t="str">
        <x:v>SYNTHETIC</x:v>
      </x:c>
    </x:row>
    <x:row r="295" ht="38" customHeight="1">
      <x:c r="A295" s="12" t="str">
        <x:v>KS-INJECTION-1000-B0291</x:v>
      </x:c>
      <x:c r="B295" s="14" t="n">
        <x:v>45730</x:v>
      </x:c>
      <x:c r="C295" s="12" t="str">
        <x:v>KS-INJECTION-1000-S-202503-3</x:v>
      </x:c>
      <x:c r="D295" s="12" t="str">
        <x:v>模拟下游3</x:v>
      </x:c>
      <x:c r="E295" s="12" t="str">
        <x:v>销售回款</x:v>
      </x:c>
      <x:c r="F295" s="13" t="n">
        <x:v>1863330</x:v>
      </x:c>
      <x:c r="G295" s="13" t="n">
        <x:v>0</x:v>
      </x:c>
      <x:c r="H295" s="13" t="n">
        <x:v>11325845</x:v>
      </x:c>
      <x:c r="I295" s="12" t="str">
        <x:v>CNY</x:v>
      </x:c>
      <x:c r="J295" s="12" t="str">
        <x:v>SYNTHETIC</x:v>
      </x:c>
    </x:row>
    <x:row r="296" ht="38" customHeight="1">
      <x:c r="A296" s="12" t="str">
        <x:v>KS-INJECTION-1000-B0292</x:v>
      </x:c>
      <x:c r="B296" s="14" t="n">
        <x:v>45732</x:v>
      </x:c>
      <x:c r="C296" s="12" t="str">
        <x:v>KS-INJECTION-1000-P-202503-1</x:v>
      </x:c>
      <x:c r="D296" s="12" t="str">
        <x:v>模拟原料商1</x:v>
      </x:c>
      <x:c r="E296" s="12" t="str">
        <x:v>原料付款</x:v>
      </x:c>
      <x:c r="F296" s="13" t="n">
        <x:v>0</x:v>
      </x:c>
      <x:c r="G296" s="13" t="n">
        <x:v>1456784</x:v>
      </x:c>
      <x:c r="H296" s="13" t="n">
        <x:v>9869061</x:v>
      </x:c>
      <x:c r="I296" s="12" t="str">
        <x:v>CNY</x:v>
      </x:c>
      <x:c r="J296" s="12" t="str">
        <x:v>SYNTHETIC</x:v>
      </x:c>
    </x:row>
    <x:row r="297" ht="38" customHeight="1">
      <x:c r="A297" s="12" t="str">
        <x:v>KS-INJECTION-1000-B0293</x:v>
      </x:c>
      <x:c r="B297" s="14" t="n">
        <x:v>45733</x:v>
      </x:c>
      <x:c r="C297" s="12" t="str">
        <x:v>KS-INJECTION-1000-P-202503-2</x:v>
      </x:c>
      <x:c r="D297" s="12" t="str">
        <x:v>模拟原料商2</x:v>
      </x:c>
      <x:c r="E297" s="12" t="str">
        <x:v>原料付款</x:v>
      </x:c>
      <x:c r="F297" s="13" t="n">
        <x:v>0</x:v>
      </x:c>
      <x:c r="G297" s="13" t="n">
        <x:v>971190</x:v>
      </x:c>
      <x:c r="H297" s="13" t="n">
        <x:v>8897871</x:v>
      </x:c>
      <x:c r="I297" s="12" t="str">
        <x:v>CNY</x:v>
      </x:c>
      <x:c r="J297" s="12" t="str">
        <x:v>SYNTHETIC</x:v>
      </x:c>
    </x:row>
    <x:row r="298" ht="38" customHeight="1">
      <x:c r="A298" s="12" t="str">
        <x:v>KS-INJECTION-1000-B0294</x:v>
      </x:c>
      <x:c r="B298" s="14" t="n">
        <x:v>45741</x:v>
      </x:c>
      <x:c r="C298" s="12" t="str">
        <x:v>KS-INJECTION-1000-PAY-202503</x:v>
      </x:c>
      <x:c r="D298" s="12" t="str">
        <x:v>模拟工资代发</x:v>
      </x:c>
      <x:c r="E298" s="12" t="str">
        <x:v>工资</x:v>
      </x:c>
      <x:c r="F298" s="13" t="n">
        <x:v>0</x:v>
      </x:c>
      <x:c r="G298" s="13" t="n">
        <x:v>520000</x:v>
      </x:c>
      <x:c r="H298" s="13" t="n">
        <x:v>8377871</x:v>
      </x:c>
      <x:c r="I298" s="12" t="str">
        <x:v>CNY</x:v>
      </x:c>
      <x:c r="J298" s="12" t="str">
        <x:v>SYNTHETIC</x:v>
      </x:c>
    </x:row>
    <x:row r="299" ht="38" customHeight="1">
      <x:c r="A299" s="12" t="str">
        <x:v>KS-INJECTION-1000-B0295</x:v>
      </x:c>
      <x:c r="B299" s="14" t="n">
        <x:v>45741</x:v>
      </x:c>
      <x:c r="C299" s="12" t="str">
        <x:v>KS-INJECTION-1000-ELEC-202503</x:v>
      </x:c>
      <x:c r="D299" s="12" t="str">
        <x:v>模拟供电结算</x:v>
      </x:c>
      <x:c r="E299" s="12" t="str">
        <x:v>电费</x:v>
      </x:c>
      <x:c r="F299" s="13" t="n">
        <x:v>0</x:v>
      </x:c>
      <x:c r="G299" s="13" t="n">
        <x:v>265200</x:v>
      </x:c>
      <x:c r="H299" s="13" t="n">
        <x:v>8112671</x:v>
      </x:c>
      <x:c r="I299" s="12" t="str">
        <x:v>CNY</x:v>
      </x:c>
      <x:c r="J299" s="12" t="str">
        <x:v>SYNTHETIC</x:v>
      </x:c>
    </x:row>
    <x:row r="300" ht="38" customHeight="1">
      <x:c r="A300" s="12" t="str">
        <x:v>KS-INJECTION-1000-B0296</x:v>
      </x:c>
      <x:c r="B300" s="14" t="n">
        <x:v>45741</x:v>
      </x:c>
      <x:c r="C300" s="12" t="str">
        <x:v>KS-INJECTION-1000-OPEX-202503</x:v>
      </x:c>
      <x:c r="D300" s="12" t="str">
        <x:v>模拟费用结算</x:v>
      </x:c>
      <x:c r="E300" s="12" t="str">
        <x:v>管理销售费用</x:v>
      </x:c>
      <x:c r="F300" s="13" t="n">
        <x:v>0</x:v>
      </x:c>
      <x:c r="G300" s="13" t="n">
        <x:v>320000</x:v>
      </x:c>
      <x:c r="H300" s="13" t="n">
        <x:v>7792671</x:v>
      </x:c>
      <x:c r="I300" s="12" t="str">
        <x:v>CNY</x:v>
      </x:c>
      <x:c r="J300" s="12" t="str">
        <x:v>SYNTHETIC</x:v>
      </x:c>
    </x:row>
    <x:row r="301" ht="38" customHeight="1">
      <x:c r="A301" s="12" t="str">
        <x:v>KS-INJECTION-1000-B0297</x:v>
      </x:c>
      <x:c r="B301" s="14" t="n">
        <x:v>45741</x:v>
      </x:c>
      <x:c r="C301" s="12" t="str">
        <x:v>KS-INJECTION-1000-INT-202503</x:v>
      </x:c>
      <x:c r="D301" s="12" t="str">
        <x:v>模拟融资机构</x:v>
      </x:c>
      <x:c r="E301" s="12" t="str">
        <x:v>利息</x:v>
      </x:c>
      <x:c r="F301" s="13" t="n">
        <x:v>0</x:v>
      </x:c>
      <x:c r="G301" s="13" t="n">
        <x:v>25000</x:v>
      </x:c>
      <x:c r="H301" s="13" t="n">
        <x:v>7767671</x:v>
      </x:c>
      <x:c r="I301" s="12" t="str">
        <x:v>CNY</x:v>
      </x:c>
      <x:c r="J301" s="12" t="str">
        <x:v>SYNTHETIC</x:v>
      </x:c>
    </x:row>
    <x:row r="302" ht="38" customHeight="1">
      <x:c r="A302" s="12" t="str">
        <x:v>KS-INJECTION-1000-B0298</x:v>
      </x:c>
      <x:c r="B302" s="14" t="n">
        <x:v>45741</x:v>
      </x:c>
      <x:c r="C302" s="12" t="str">
        <x:v>KS-INJECTION-1000-VAT-202503</x:v>
      </x:c>
      <x:c r="D302" s="12" t="str">
        <x:v>模拟税费账户</x:v>
      </x:c>
      <x:c r="E302" s="12" t="str">
        <x:v>增值税</x:v>
      </x:c>
      <x:c r="F302" s="13" t="n">
        <x:v>0</x:v>
      </x:c>
      <x:c r="G302" s="13" t="n">
        <x:v>370268</x:v>
      </x:c>
      <x:c r="H302" s="13" t="n">
        <x:v>7397403</x:v>
      </x:c>
      <x:c r="I302" s="12" t="str">
        <x:v>CNY</x:v>
      </x:c>
      <x:c r="J302" s="12" t="str">
        <x:v>SYNTHETIC</x:v>
      </x:c>
    </x:row>
    <x:row r="303" ht="38" customHeight="1">
      <x:c r="A303" s="12" t="str">
        <x:v>KS-INJECTION-1000-B0299</x:v>
      </x:c>
      <x:c r="B303" s="14" t="n">
        <x:v>45741</x:v>
      </x:c>
      <x:c r="C303" s="12" t="str">
        <x:v>KS-INJECTION-1000-CIT-202503</x:v>
      </x:c>
      <x:c r="D303" s="12" t="str">
        <x:v>模拟税费账户</x:v>
      </x:c>
      <x:c r="E303" s="12" t="str">
        <x:v>所得税</x:v>
      </x:c>
      <x:c r="F303" s="13" t="n">
        <x:v>0</x:v>
      </x:c>
      <x:c r="G303" s="13" t="n">
        <x:v>384502</x:v>
      </x:c>
      <x:c r="H303" s="13" t="n">
        <x:v>7012901</x:v>
      </x:c>
      <x:c r="I303" s="12" t="str">
        <x:v>CNY</x:v>
      </x:c>
      <x:c r="J303" s="12" t="str">
        <x:v>SYNTHETIC</x:v>
      </x:c>
    </x:row>
    <x:row r="304" ht="38" customHeight="1">
      <x:c r="A304" s="12" t="str">
        <x:v>KS-INJECTION-1000-B0300</x:v>
      </x:c>
      <x:c r="B304" s="14" t="n">
        <x:v>45759</x:v>
      </x:c>
      <x:c r="C304" s="12" t="str">
        <x:v>KS-INJECTION-1000-S-202504-1</x:v>
      </x:c>
      <x:c r="D304" s="12" t="str">
        <x:v>模拟下游1</x:v>
      </x:c>
      <x:c r="E304" s="12" t="str">
        <x:v>销售回款</x:v>
      </x:c>
      <x:c r="F304" s="13" t="n">
        <x:v>1995077</x:v>
      </x:c>
      <x:c r="G304" s="13" t="n">
        <x:v>0</x:v>
      </x:c>
      <x:c r="H304" s="13" t="n">
        <x:v>9007978</x:v>
      </x:c>
      <x:c r="I304" s="12" t="str">
        <x:v>CNY</x:v>
      </x:c>
      <x:c r="J304" s="12" t="str">
        <x:v>SYNTHETIC</x:v>
      </x:c>
    </x:row>
    <x:row r="305" ht="38" customHeight="1">
      <x:c r="A305" s="12" t="str">
        <x:v>KS-INJECTION-1000-B0301</x:v>
      </x:c>
      <x:c r="B305" s="14" t="n">
        <x:v>45760</x:v>
      </x:c>
      <x:c r="C305" s="12" t="str">
        <x:v>KS-INJECTION-1000-S-202504-2</x:v>
      </x:c>
      <x:c r="D305" s="12" t="str">
        <x:v>模拟下游2</x:v>
      </x:c>
      <x:c r="E305" s="12" t="str">
        <x:v>销售回款</x:v>
      </x:c>
      <x:c r="F305" s="13" t="n">
        <x:v>1936398</x:v>
      </x:c>
      <x:c r="G305" s="13" t="n">
        <x:v>0</x:v>
      </x:c>
      <x:c r="H305" s="13" t="n">
        <x:v>10944376</x:v>
      </x:c>
      <x:c r="I305" s="12" t="str">
        <x:v>CNY</x:v>
      </x:c>
      <x:c r="J305" s="12" t="str">
        <x:v>SYNTHETIC</x:v>
      </x:c>
    </x:row>
    <x:row r="306" ht="38" customHeight="1">
      <x:c r="A306" s="12" t="str">
        <x:v>KS-INJECTION-1000-B0302</x:v>
      </x:c>
      <x:c r="B306" s="14" t="n">
        <x:v>45761</x:v>
      </x:c>
      <x:c r="C306" s="12" t="str">
        <x:v>KS-INJECTION-1000-S-202504-3</x:v>
      </x:c>
      <x:c r="D306" s="12" t="str">
        <x:v>模拟下游3</x:v>
      </x:c>
      <x:c r="E306" s="12" t="str">
        <x:v>销售回款</x:v>
      </x:c>
      <x:c r="F306" s="13" t="n">
        <x:v>1936398</x:v>
      </x:c>
      <x:c r="G306" s="13" t="n">
        <x:v>0</x:v>
      </x:c>
      <x:c r="H306" s="13" t="n">
        <x:v>12880774</x:v>
      </x:c>
      <x:c r="I306" s="12" t="str">
        <x:v>CNY</x:v>
      </x:c>
      <x:c r="J306" s="12" t="str">
        <x:v>SYNTHETIC</x:v>
      </x:c>
    </x:row>
    <x:row r="307" ht="38" customHeight="1">
      <x:c r="A307" s="12" t="str">
        <x:v>KS-INJECTION-1000-B0303</x:v>
      </x:c>
      <x:c r="B307" s="14" t="n">
        <x:v>45763</x:v>
      </x:c>
      <x:c r="C307" s="12" t="str">
        <x:v>KS-INJECTION-1000-P-202504-1</x:v>
      </x:c>
      <x:c r="D307" s="12" t="str">
        <x:v>模拟原料商1</x:v>
      </x:c>
      <x:c r="E307" s="12" t="str">
        <x:v>原料付款</x:v>
      </x:c>
      <x:c r="F307" s="13" t="n">
        <x:v>0</x:v>
      </x:c>
      <x:c r="G307" s="13" t="n">
        <x:v>1513911</x:v>
      </x:c>
      <x:c r="H307" s="13" t="n">
        <x:v>11366863</x:v>
      </x:c>
      <x:c r="I307" s="12" t="str">
        <x:v>CNY</x:v>
      </x:c>
      <x:c r="J307" s="12" t="str">
        <x:v>SYNTHETIC</x:v>
      </x:c>
    </x:row>
    <x:row r="308" ht="38" customHeight="1">
      <x:c r="A308" s="12" t="str">
        <x:v>KS-INJECTION-1000-B0304</x:v>
      </x:c>
      <x:c r="B308" s="14" t="n">
        <x:v>45764</x:v>
      </x:c>
      <x:c r="C308" s="12" t="str">
        <x:v>KS-INJECTION-1000-P-202504-2</x:v>
      </x:c>
      <x:c r="D308" s="12" t="str">
        <x:v>模拟原料商2</x:v>
      </x:c>
      <x:c r="E308" s="12" t="str">
        <x:v>原料付款</x:v>
      </x:c>
      <x:c r="F308" s="13" t="n">
        <x:v>0</x:v>
      </x:c>
      <x:c r="G308" s="13" t="n">
        <x:v>1009274</x:v>
      </x:c>
      <x:c r="H308" s="13" t="n">
        <x:v>10357589</x:v>
      </x:c>
      <x:c r="I308" s="12" t="str">
        <x:v>CNY</x:v>
      </x:c>
      <x:c r="J308" s="12" t="str">
        <x:v>SYNTHETIC</x:v>
      </x:c>
    </x:row>
    <x:row r="309" ht="38" customHeight="1">
      <x:c r="A309" s="12" t="str">
        <x:v>KS-INJECTION-1000-B0305</x:v>
      </x:c>
      <x:c r="B309" s="14" t="n">
        <x:v>45772</x:v>
      </x:c>
      <x:c r="C309" s="12" t="str">
        <x:v>KS-INJECTION-1000-PAY-202504</x:v>
      </x:c>
      <x:c r="D309" s="12" t="str">
        <x:v>模拟工资代发</x:v>
      </x:c>
      <x:c r="E309" s="12" t="str">
        <x:v>工资</x:v>
      </x:c>
      <x:c r="F309" s="13" t="n">
        <x:v>0</x:v>
      </x:c>
      <x:c r="G309" s="13" t="n">
        <x:v>520000</x:v>
      </x:c>
      <x:c r="H309" s="13" t="n">
        <x:v>9837589</x:v>
      </x:c>
      <x:c r="I309" s="12" t="str">
        <x:v>CNY</x:v>
      </x:c>
      <x:c r="J309" s="12" t="str">
        <x:v>SYNTHETIC</x:v>
      </x:c>
    </x:row>
    <x:row r="310" ht="38" customHeight="1">
      <x:c r="A310" s="12" t="str">
        <x:v>KS-INJECTION-1000-B0306</x:v>
      </x:c>
      <x:c r="B310" s="14" t="n">
        <x:v>45772</x:v>
      </x:c>
      <x:c r="C310" s="12" t="str">
        <x:v>KS-INJECTION-1000-ELEC-202504</x:v>
      </x:c>
      <x:c r="D310" s="12" t="str">
        <x:v>模拟供电结算</x:v>
      </x:c>
      <x:c r="E310" s="12" t="str">
        <x:v>电费</x:v>
      </x:c>
      <x:c r="F310" s="13" t="n">
        <x:v>0</x:v>
      </x:c>
      <x:c r="G310" s="13" t="n">
        <x:v>275600</x:v>
      </x:c>
      <x:c r="H310" s="13" t="n">
        <x:v>9561989</x:v>
      </x:c>
      <x:c r="I310" s="12" t="str">
        <x:v>CNY</x:v>
      </x:c>
      <x:c r="J310" s="12" t="str">
        <x:v>SYNTHETIC</x:v>
      </x:c>
    </x:row>
    <x:row r="311" ht="38" customHeight="1">
      <x:c r="A311" s="12" t="str">
        <x:v>KS-INJECTION-1000-B0307</x:v>
      </x:c>
      <x:c r="B311" s="14" t="n">
        <x:v>45772</x:v>
      </x:c>
      <x:c r="C311" s="12" t="str">
        <x:v>KS-INJECTION-1000-OPEX-202504</x:v>
      </x:c>
      <x:c r="D311" s="12" t="str">
        <x:v>模拟费用结算</x:v>
      </x:c>
      <x:c r="E311" s="12" t="str">
        <x:v>管理销售费用</x:v>
      </x:c>
      <x:c r="F311" s="13" t="n">
        <x:v>0</x:v>
      </x:c>
      <x:c r="G311" s="13" t="n">
        <x:v>320000</x:v>
      </x:c>
      <x:c r="H311" s="13" t="n">
        <x:v>9241989</x:v>
      </x:c>
      <x:c r="I311" s="12" t="str">
        <x:v>CNY</x:v>
      </x:c>
      <x:c r="J311" s="12" t="str">
        <x:v>SYNTHETIC</x:v>
      </x:c>
    </x:row>
    <x:row r="312" ht="38" customHeight="1">
      <x:c r="A312" s="12" t="str">
        <x:v>KS-INJECTION-1000-B0308</x:v>
      </x:c>
      <x:c r="B312" s="14" t="n">
        <x:v>45772</x:v>
      </x:c>
      <x:c r="C312" s="12" t="str">
        <x:v>KS-INJECTION-1000-INT-202504</x:v>
      </x:c>
      <x:c r="D312" s="12" t="str">
        <x:v>模拟融资机构</x:v>
      </x:c>
      <x:c r="E312" s="12" t="str">
        <x:v>利息</x:v>
      </x:c>
      <x:c r="F312" s="13" t="n">
        <x:v>0</x:v>
      </x:c>
      <x:c r="G312" s="13" t="n">
        <x:v>25000</x:v>
      </x:c>
      <x:c r="H312" s="13" t="n">
        <x:v>9216989</x:v>
      </x:c>
      <x:c r="I312" s="12" t="str">
        <x:v>CNY</x:v>
      </x:c>
      <x:c r="J312" s="12" t="str">
        <x:v>SYNTHETIC</x:v>
      </x:c>
    </x:row>
    <x:row r="313" ht="38" customHeight="1">
      <x:c r="A313" s="12" t="str">
        <x:v>KS-INJECTION-1000-B0309</x:v>
      </x:c>
      <x:c r="B313" s="14" t="n">
        <x:v>45772</x:v>
      </x:c>
      <x:c r="C313" s="12" t="str">
        <x:v>KS-INJECTION-1000-VAT-202504</x:v>
      </x:c>
      <x:c r="D313" s="12" t="str">
        <x:v>模拟税费账户</x:v>
      </x:c>
      <x:c r="E313" s="12" t="str">
        <x:v>增值税</x:v>
      </x:c>
      <x:c r="F313" s="13" t="n">
        <x:v>0</x:v>
      </x:c>
      <x:c r="G313" s="13" t="n">
        <x:v>384787</x:v>
      </x:c>
      <x:c r="H313" s="13" t="n">
        <x:v>8832202</x:v>
      </x:c>
      <x:c r="I313" s="12" t="str">
        <x:v>CNY</x:v>
      </x:c>
      <x:c r="J313" s="12" t="str">
        <x:v>SYNTHETIC</x:v>
      </x:c>
    </x:row>
    <x:row r="314" ht="38" customHeight="1">
      <x:c r="A314" s="12" t="str">
        <x:v>KS-INJECTION-1000-B0310</x:v>
      </x:c>
      <x:c r="B314" s="14" t="n">
        <x:v>45772</x:v>
      </x:c>
      <x:c r="C314" s="12" t="str">
        <x:v>KS-INJECTION-1000-CIT-202504</x:v>
      </x:c>
      <x:c r="D314" s="12" t="str">
        <x:v>模拟税费账户</x:v>
      </x:c>
      <x:c r="E314" s="12" t="str">
        <x:v>所得税</x:v>
      </x:c>
      <x:c r="F314" s="13" t="n">
        <x:v>0</x:v>
      </x:c>
      <x:c r="G314" s="13" t="n">
        <x:v>409825</x:v>
      </x:c>
      <x:c r="H314" s="13" t="n">
        <x:v>8422377</x:v>
      </x:c>
      <x:c r="I314" s="12" t="str">
        <x:v>CNY</x:v>
      </x:c>
      <x:c r="J314" s="12" t="str">
        <x:v>SYNTHETIC</x:v>
      </x:c>
    </x:row>
    <x:row r="315" ht="38" customHeight="1">
      <x:c r="A315" s="12" t="str">
        <x:v>KS-INJECTION-1000-B0311</x:v>
      </x:c>
      <x:c r="B315" s="14" t="n">
        <x:v>45789</x:v>
      </x:c>
      <x:c r="C315" s="12" t="str">
        <x:v>KS-INJECTION-1000-S-202505-1</x:v>
      </x:c>
      <x:c r="D315" s="12" t="str">
        <x:v>模拟下游1</x:v>
      </x:c>
      <x:c r="E315" s="12" t="str">
        <x:v>销售回款</x:v>
      </x:c>
      <x:c r="F315" s="13" t="n">
        <x:v>2070365</x:v>
      </x:c>
      <x:c r="G315" s="13" t="n">
        <x:v>0</x:v>
      </x:c>
      <x:c r="H315" s="13" t="n">
        <x:v>10492742</x:v>
      </x:c>
      <x:c r="I315" s="12" t="str">
        <x:v>CNY</x:v>
      </x:c>
      <x:c r="J315" s="12" t="str">
        <x:v>SYNTHETIC</x:v>
      </x:c>
    </x:row>
    <x:row r="316" ht="38" customHeight="1">
      <x:c r="A316" s="12" t="str">
        <x:v>KS-INJECTION-1000-B0312</x:v>
      </x:c>
      <x:c r="B316" s="14" t="n">
        <x:v>45790</x:v>
      </x:c>
      <x:c r="C316" s="12" t="str">
        <x:v>KS-INJECTION-1000-S-202505-2</x:v>
      </x:c>
      <x:c r="D316" s="12" t="str">
        <x:v>模拟下游2</x:v>
      </x:c>
      <x:c r="E316" s="12" t="str">
        <x:v>销售回款</x:v>
      </x:c>
      <x:c r="F316" s="13" t="n">
        <x:v>2009471</x:v>
      </x:c>
      <x:c r="G316" s="13" t="n">
        <x:v>0</x:v>
      </x:c>
      <x:c r="H316" s="13" t="n">
        <x:v>12502213</x:v>
      </x:c>
      <x:c r="I316" s="12" t="str">
        <x:v>CNY</x:v>
      </x:c>
      <x:c r="J316" s="12" t="str">
        <x:v>SYNTHETIC</x:v>
      </x:c>
    </x:row>
    <x:row r="317" ht="38" customHeight="1">
      <x:c r="A317" s="12" t="str">
        <x:v>KS-INJECTION-1000-B0313</x:v>
      </x:c>
      <x:c r="B317" s="14" t="n">
        <x:v>45791</x:v>
      </x:c>
      <x:c r="C317" s="12" t="str">
        <x:v>KS-INJECTION-1000-S-202505-3</x:v>
      </x:c>
      <x:c r="D317" s="12" t="str">
        <x:v>模拟下游3</x:v>
      </x:c>
      <x:c r="E317" s="12" t="str">
        <x:v>销售回款</x:v>
      </x:c>
      <x:c r="F317" s="13" t="n">
        <x:v>2009472</x:v>
      </x:c>
      <x:c r="G317" s="13" t="n">
        <x:v>0</x:v>
      </x:c>
      <x:c r="H317" s="13" t="n">
        <x:v>14511685</x:v>
      </x:c>
      <x:c r="I317" s="12" t="str">
        <x:v>CNY</x:v>
      </x:c>
      <x:c r="J317" s="12" t="str">
        <x:v>SYNTHETIC</x:v>
      </x:c>
    </x:row>
    <x:row r="318" ht="38" customHeight="1">
      <x:c r="A318" s="12" t="str">
        <x:v>KS-INJECTION-1000-B0314</x:v>
      </x:c>
      <x:c r="B318" s="14" t="n">
        <x:v>45793</x:v>
      </x:c>
      <x:c r="C318" s="12" t="str">
        <x:v>KS-INJECTION-1000-P-202505-1</x:v>
      </x:c>
      <x:c r="D318" s="12" t="str">
        <x:v>模拟原料商1</x:v>
      </x:c>
      <x:c r="E318" s="12" t="str">
        <x:v>原料付款</x:v>
      </x:c>
      <x:c r="F318" s="13" t="n">
        <x:v>0</x:v>
      </x:c>
      <x:c r="G318" s="13" t="n">
        <x:v>1571041</x:v>
      </x:c>
      <x:c r="H318" s="13" t="n">
        <x:v>12940644</x:v>
      </x:c>
      <x:c r="I318" s="12" t="str">
        <x:v>CNY</x:v>
      </x:c>
      <x:c r="J318" s="12" t="str">
        <x:v>SYNTHETIC</x:v>
      </x:c>
    </x:row>
    <x:row r="319" ht="38" customHeight="1">
      <x:c r="A319" s="12" t="str">
        <x:v>KS-INJECTION-1000-B0315</x:v>
      </x:c>
      <x:c r="B319" s="14" t="n">
        <x:v>45794</x:v>
      </x:c>
      <x:c r="C319" s="12" t="str">
        <x:v>KS-INJECTION-1000-P-202505-2</x:v>
      </x:c>
      <x:c r="D319" s="12" t="str">
        <x:v>模拟原料商2</x:v>
      </x:c>
      <x:c r="E319" s="12" t="str">
        <x:v>原料付款</x:v>
      </x:c>
      <x:c r="F319" s="13" t="n">
        <x:v>0</x:v>
      </x:c>
      <x:c r="G319" s="13" t="n">
        <x:v>1047361</x:v>
      </x:c>
      <x:c r="H319" s="13" t="n">
        <x:v>11893283</x:v>
      </x:c>
      <x:c r="I319" s="12" t="str">
        <x:v>CNY</x:v>
      </x:c>
      <x:c r="J319" s="12" t="str">
        <x:v>SYNTHETIC</x:v>
      </x:c>
    </x:row>
    <x:row r="320" ht="38" customHeight="1">
      <x:c r="A320" s="12" t="str">
        <x:v>KS-INJECTION-1000-B0316</x:v>
      </x:c>
      <x:c r="B320" s="14" t="n">
        <x:v>45802</x:v>
      </x:c>
      <x:c r="C320" s="12" t="str">
        <x:v>KS-INJECTION-1000-PAY-202505</x:v>
      </x:c>
      <x:c r="D320" s="12" t="str">
        <x:v>模拟工资代发</x:v>
      </x:c>
      <x:c r="E320" s="12" t="str">
        <x:v>工资</x:v>
      </x:c>
      <x:c r="F320" s="13" t="n">
        <x:v>0</x:v>
      </x:c>
      <x:c r="G320" s="13" t="n">
        <x:v>520000</x:v>
      </x:c>
      <x:c r="H320" s="13" t="n">
        <x:v>11373283</x:v>
      </x:c>
      <x:c r="I320" s="12" t="str">
        <x:v>CNY</x:v>
      </x:c>
      <x:c r="J320" s="12" t="str">
        <x:v>SYNTHETIC</x:v>
      </x:c>
    </x:row>
    <x:row r="321" ht="38" customHeight="1">
      <x:c r="A321" s="12" t="str">
        <x:v>KS-INJECTION-1000-B0317</x:v>
      </x:c>
      <x:c r="B321" s="14" t="n">
        <x:v>45802</x:v>
      </x:c>
      <x:c r="C321" s="12" t="str">
        <x:v>KS-INJECTION-1000-ELEC-202505</x:v>
      </x:c>
      <x:c r="D321" s="12" t="str">
        <x:v>模拟供电结算</x:v>
      </x:c>
      <x:c r="E321" s="12" t="str">
        <x:v>电费</x:v>
      </x:c>
      <x:c r="F321" s="13" t="n">
        <x:v>0</x:v>
      </x:c>
      <x:c r="G321" s="13" t="n">
        <x:v>286000</x:v>
      </x:c>
      <x:c r="H321" s="13" t="n">
        <x:v>11087283</x:v>
      </x:c>
      <x:c r="I321" s="12" t="str">
        <x:v>CNY</x:v>
      </x:c>
      <x:c r="J321" s="12" t="str">
        <x:v>SYNTHETIC</x:v>
      </x:c>
    </x:row>
    <x:row r="322" ht="38" customHeight="1">
      <x:c r="A322" s="12" t="str">
        <x:v>KS-INJECTION-1000-B0318</x:v>
      </x:c>
      <x:c r="B322" s="14" t="n">
        <x:v>45802</x:v>
      </x:c>
      <x:c r="C322" s="12" t="str">
        <x:v>KS-INJECTION-1000-OPEX-202505</x:v>
      </x:c>
      <x:c r="D322" s="12" t="str">
        <x:v>模拟费用结算</x:v>
      </x:c>
      <x:c r="E322" s="12" t="str">
        <x:v>管理销售费用</x:v>
      </x:c>
      <x:c r="F322" s="13" t="n">
        <x:v>0</x:v>
      </x:c>
      <x:c r="G322" s="13" t="n">
        <x:v>320000</x:v>
      </x:c>
      <x:c r="H322" s="13" t="n">
        <x:v>10767283</x:v>
      </x:c>
      <x:c r="I322" s="12" t="str">
        <x:v>CNY</x:v>
      </x:c>
      <x:c r="J322" s="12" t="str">
        <x:v>SYNTHETIC</x:v>
      </x:c>
    </x:row>
    <x:row r="323" ht="38" customHeight="1">
      <x:c r="A323" s="12" t="str">
        <x:v>KS-INJECTION-1000-B0319</x:v>
      </x:c>
      <x:c r="B323" s="14" t="n">
        <x:v>45802</x:v>
      </x:c>
      <x:c r="C323" s="12" t="str">
        <x:v>KS-INJECTION-1000-INT-202505</x:v>
      </x:c>
      <x:c r="D323" s="12" t="str">
        <x:v>模拟融资机构</x:v>
      </x:c>
      <x:c r="E323" s="12" t="str">
        <x:v>利息</x:v>
      </x:c>
      <x:c r="F323" s="13" t="n">
        <x:v>0</x:v>
      </x:c>
      <x:c r="G323" s="13" t="n">
        <x:v>25000</x:v>
      </x:c>
      <x:c r="H323" s="13" t="n">
        <x:v>10742283</x:v>
      </x:c>
      <x:c r="I323" s="12" t="str">
        <x:v>CNY</x:v>
      </x:c>
      <x:c r="J323" s="12" t="str">
        <x:v>SYNTHETIC</x:v>
      </x:c>
    </x:row>
    <x:row r="324" ht="38" customHeight="1">
      <x:c r="A324" s="12" t="str">
        <x:v>KS-INJECTION-1000-B0320</x:v>
      </x:c>
      <x:c r="B324" s="14" t="n">
        <x:v>45802</x:v>
      </x:c>
      <x:c r="C324" s="12" t="str">
        <x:v>KS-INJECTION-1000-VAT-202505</x:v>
      </x:c>
      <x:c r="D324" s="12" t="str">
        <x:v>模拟税费账户</x:v>
      </x:c>
      <x:c r="E324" s="12" t="str">
        <x:v>增值税</x:v>
      </x:c>
      <x:c r="F324" s="13" t="n">
        <x:v>0</x:v>
      </x:c>
      <x:c r="G324" s="13" t="n">
        <x:v>399308</x:v>
      </x:c>
      <x:c r="H324" s="13" t="n">
        <x:v>10342975</x:v>
      </x:c>
      <x:c r="I324" s="12" t="str">
        <x:v>CNY</x:v>
      </x:c>
      <x:c r="J324" s="12" t="str">
        <x:v>SYNTHETIC</x:v>
      </x:c>
    </x:row>
    <x:row r="325" ht="38" customHeight="1">
      <x:c r="A325" s="12" t="str">
        <x:v>KS-INJECTION-1000-B0321</x:v>
      </x:c>
      <x:c r="B325" s="14" t="n">
        <x:v>45802</x:v>
      </x:c>
      <x:c r="C325" s="12" t="str">
        <x:v>KS-INJECTION-1000-CIT-202505</x:v>
      </x:c>
      <x:c r="D325" s="12" t="str">
        <x:v>模拟税费账户</x:v>
      </x:c>
      <x:c r="E325" s="12" t="str">
        <x:v>所得税</x:v>
      </x:c>
      <x:c r="F325" s="13" t="n">
        <x:v>0</x:v>
      </x:c>
      <x:c r="G325" s="13" t="n">
        <x:v>435150</x:v>
      </x:c>
      <x:c r="H325" s="13" t="n">
        <x:v>9907825</x:v>
      </x:c>
      <x:c r="I325" s="12" t="str">
        <x:v>CNY</x:v>
      </x:c>
      <x:c r="J325" s="12" t="str">
        <x:v>SYNTHETIC</x:v>
      </x:c>
    </x:row>
    <x:row r="326" ht="38" customHeight="1">
      <x:c r="A326" s="12" t="str">
        <x:v>KS-INJECTION-1000-B0322</x:v>
      </x:c>
      <x:c r="B326" s="14" t="n">
        <x:v>45820</x:v>
      </x:c>
      <x:c r="C326" s="12" t="str">
        <x:v>KS-INJECTION-1000-S-202506-1</x:v>
      </x:c>
      <x:c r="D326" s="12" t="str">
        <x:v>模拟下游1</x:v>
      </x:c>
      <x:c r="E326" s="12" t="str">
        <x:v>销售回款</x:v>
      </x:c>
      <x:c r="F326" s="13" t="n">
        <x:v>1976257</x:v>
      </x:c>
      <x:c r="G326" s="13" t="n">
        <x:v>0</x:v>
      </x:c>
      <x:c r="H326" s="13" t="n">
        <x:v>11884082</x:v>
      </x:c>
      <x:c r="I326" s="12" t="str">
        <x:v>CNY</x:v>
      </x:c>
      <x:c r="J326" s="12" t="str">
        <x:v>SYNTHETIC</x:v>
      </x:c>
    </x:row>
    <x:row r="327" ht="38" customHeight="1">
      <x:c r="A327" s="12" t="str">
        <x:v>KS-INJECTION-1000-B0323</x:v>
      </x:c>
      <x:c r="B327" s="14" t="n">
        <x:v>45821</x:v>
      </x:c>
      <x:c r="C327" s="12" t="str">
        <x:v>KS-INJECTION-1000-S-202506-2</x:v>
      </x:c>
      <x:c r="D327" s="12" t="str">
        <x:v>模拟下游2</x:v>
      </x:c>
      <x:c r="E327" s="12" t="str">
        <x:v>销售回款</x:v>
      </x:c>
      <x:c r="F327" s="13" t="n">
        <x:v>1918132</x:v>
      </x:c>
      <x:c r="G327" s="13" t="n">
        <x:v>0</x:v>
      </x:c>
      <x:c r="H327" s="13" t="n">
        <x:v>13802214</x:v>
      </x:c>
      <x:c r="I327" s="12" t="str">
        <x:v>CNY</x:v>
      </x:c>
      <x:c r="J327" s="12" t="str">
        <x:v>SYNTHETIC</x:v>
      </x:c>
    </x:row>
    <x:row r="328" ht="38" customHeight="1">
      <x:c r="A328" s="12" t="str">
        <x:v>KS-INJECTION-1000-B0324</x:v>
      </x:c>
      <x:c r="B328" s="14" t="n">
        <x:v>45822</x:v>
      </x:c>
      <x:c r="C328" s="12" t="str">
        <x:v>KS-INJECTION-1000-S-202506-3</x:v>
      </x:c>
      <x:c r="D328" s="12" t="str">
        <x:v>模拟下游3</x:v>
      </x:c>
      <x:c r="E328" s="12" t="str">
        <x:v>销售回款</x:v>
      </x:c>
      <x:c r="F328" s="13" t="n">
        <x:v>1918132</x:v>
      </x:c>
      <x:c r="G328" s="13" t="n">
        <x:v>0</x:v>
      </x:c>
      <x:c r="H328" s="13" t="n">
        <x:v>15720346</x:v>
      </x:c>
      <x:c r="I328" s="12" t="str">
        <x:v>CNY</x:v>
      </x:c>
      <x:c r="J328" s="12" t="str">
        <x:v>SYNTHETIC</x:v>
      </x:c>
    </x:row>
    <x:row r="329" ht="38" customHeight="1">
      <x:c r="A329" s="12" t="str">
        <x:v>KS-INJECTION-1000-B0325</x:v>
      </x:c>
      <x:c r="B329" s="14" t="n">
        <x:v>45824</x:v>
      </x:c>
      <x:c r="C329" s="12" t="str">
        <x:v>KS-INJECTION-1000-P-202506-1</x:v>
      </x:c>
      <x:c r="D329" s="12" t="str">
        <x:v>模拟原料商1</x:v>
      </x:c>
      <x:c r="E329" s="12" t="str">
        <x:v>原料付款</x:v>
      </x:c>
      <x:c r="F329" s="13" t="n">
        <x:v>0</x:v>
      </x:c>
      <x:c r="G329" s="13" t="n">
        <x:v>1499630</x:v>
      </x:c>
      <x:c r="H329" s="13" t="n">
        <x:v>14220716</x:v>
      </x:c>
      <x:c r="I329" s="12" t="str">
        <x:v>CNY</x:v>
      </x:c>
      <x:c r="J329" s="12" t="str">
        <x:v>SYNTHETIC</x:v>
      </x:c>
    </x:row>
    <x:row r="330" ht="38" customHeight="1">
      <x:c r="A330" s="12" t="str">
        <x:v>KS-INJECTION-1000-B0326</x:v>
      </x:c>
      <x:c r="B330" s="14" t="n">
        <x:v>45825</x:v>
      </x:c>
      <x:c r="C330" s="12" t="str">
        <x:v>KS-INJECTION-1000-P-202506-2</x:v>
      </x:c>
      <x:c r="D330" s="12" t="str">
        <x:v>模拟原料商2</x:v>
      </x:c>
      <x:c r="E330" s="12" t="str">
        <x:v>原料付款</x:v>
      </x:c>
      <x:c r="F330" s="13" t="n">
        <x:v>0</x:v>
      </x:c>
      <x:c r="G330" s="13" t="n">
        <x:v>999754</x:v>
      </x:c>
      <x:c r="H330" s="13" t="n">
        <x:v>13220962</x:v>
      </x:c>
      <x:c r="I330" s="12" t="str">
        <x:v>CNY</x:v>
      </x:c>
      <x:c r="J330" s="12" t="str">
        <x:v>SYNTHETIC</x:v>
      </x:c>
    </x:row>
    <x:row r="331" ht="38" customHeight="1">
      <x:c r="A331" s="12" t="str">
        <x:v>KS-INJECTION-1000-B0327</x:v>
      </x:c>
      <x:c r="B331" s="14" t="n">
        <x:v>45833</x:v>
      </x:c>
      <x:c r="C331" s="12" t="str">
        <x:v>KS-INJECTION-1000-PAY-202506</x:v>
      </x:c>
      <x:c r="D331" s="12" t="str">
        <x:v>模拟工资代发</x:v>
      </x:c>
      <x:c r="E331" s="12" t="str">
        <x:v>工资</x:v>
      </x:c>
      <x:c r="F331" s="13" t="n">
        <x:v>0</x:v>
      </x:c>
      <x:c r="G331" s="13" t="n">
        <x:v>520000</x:v>
      </x:c>
      <x:c r="H331" s="13" t="n">
        <x:v>12700962</x:v>
      </x:c>
      <x:c r="I331" s="12" t="str">
        <x:v>CNY</x:v>
      </x:c>
      <x:c r="J331" s="12" t="str">
        <x:v>SYNTHETIC</x:v>
      </x:c>
    </x:row>
    <x:row r="332" ht="38" customHeight="1">
      <x:c r="A332" s="12" t="str">
        <x:v>KS-INJECTION-1000-B0328</x:v>
      </x:c>
      <x:c r="B332" s="14" t="n">
        <x:v>45833</x:v>
      </x:c>
      <x:c r="C332" s="12" t="str">
        <x:v>KS-INJECTION-1000-ELEC-202506</x:v>
      </x:c>
      <x:c r="D332" s="12" t="str">
        <x:v>模拟供电结算</x:v>
      </x:c>
      <x:c r="E332" s="12" t="str">
        <x:v>电费</x:v>
      </x:c>
      <x:c r="F332" s="13" t="n">
        <x:v>0</x:v>
      </x:c>
      <x:c r="G332" s="13" t="n">
        <x:v>273000</x:v>
      </x:c>
      <x:c r="H332" s="13" t="n">
        <x:v>12427962</x:v>
      </x:c>
      <x:c r="I332" s="12" t="str">
        <x:v>CNY</x:v>
      </x:c>
      <x:c r="J332" s="12" t="str">
        <x:v>SYNTHETIC</x:v>
      </x:c>
    </x:row>
    <x:row r="333" ht="38" customHeight="1">
      <x:c r="A333" s="12" t="str">
        <x:v>KS-INJECTION-1000-B0329</x:v>
      </x:c>
      <x:c r="B333" s="14" t="n">
        <x:v>45833</x:v>
      </x:c>
      <x:c r="C333" s="12" t="str">
        <x:v>KS-INJECTION-1000-OPEX-202506</x:v>
      </x:c>
      <x:c r="D333" s="12" t="str">
        <x:v>模拟费用结算</x:v>
      </x:c>
      <x:c r="E333" s="12" t="str">
        <x:v>管理销售费用</x:v>
      </x:c>
      <x:c r="F333" s="13" t="n">
        <x:v>0</x:v>
      </x:c>
      <x:c r="G333" s="13" t="n">
        <x:v>320000</x:v>
      </x:c>
      <x:c r="H333" s="13" t="n">
        <x:v>12107962</x:v>
      </x:c>
      <x:c r="I333" s="12" t="str">
        <x:v>CNY</x:v>
      </x:c>
      <x:c r="J333" s="12" t="str">
        <x:v>SYNTHETIC</x:v>
      </x:c>
    </x:row>
    <x:row r="334" ht="38" customHeight="1">
      <x:c r="A334" s="12" t="str">
        <x:v>KS-INJECTION-1000-B0330</x:v>
      </x:c>
      <x:c r="B334" s="14" t="n">
        <x:v>45833</x:v>
      </x:c>
      <x:c r="C334" s="12" t="str">
        <x:v>KS-INJECTION-1000-INT-202506</x:v>
      </x:c>
      <x:c r="D334" s="12" t="str">
        <x:v>模拟融资机构</x:v>
      </x:c>
      <x:c r="E334" s="12" t="str">
        <x:v>利息</x:v>
      </x:c>
      <x:c r="F334" s="13" t="n">
        <x:v>0</x:v>
      </x:c>
      <x:c r="G334" s="13" t="n">
        <x:v>25000</x:v>
      </x:c>
      <x:c r="H334" s="13" t="n">
        <x:v>12082962</x:v>
      </x:c>
      <x:c r="I334" s="12" t="str">
        <x:v>CNY</x:v>
      </x:c>
      <x:c r="J334" s="12" t="str">
        <x:v>SYNTHETIC</x:v>
      </x:c>
    </x:row>
    <x:row r="335" ht="38" customHeight="1">
      <x:c r="A335" s="12" t="str">
        <x:v>KS-INJECTION-1000-B0331</x:v>
      </x:c>
      <x:c r="B335" s="14" t="n">
        <x:v>45833</x:v>
      </x:c>
      <x:c r="C335" s="12" t="str">
        <x:v>KS-INJECTION-1000-VAT-202506</x:v>
      </x:c>
      <x:c r="D335" s="12" t="str">
        <x:v>模拟税费账户</x:v>
      </x:c>
      <x:c r="E335" s="12" t="str">
        <x:v>增值税</x:v>
      </x:c>
      <x:c r="F335" s="13" t="n">
        <x:v>0</x:v>
      </x:c>
      <x:c r="G335" s="13" t="n">
        <x:v>381157</x:v>
      </x:c>
      <x:c r="H335" s="13" t="n">
        <x:v>11701805</x:v>
      </x:c>
      <x:c r="I335" s="12" t="str">
        <x:v>CNY</x:v>
      </x:c>
      <x:c r="J335" s="12" t="str">
        <x:v>SYNTHETIC</x:v>
      </x:c>
    </x:row>
    <x:row r="336" ht="38" customHeight="1">
      <x:c r="A336" s="12" t="str">
        <x:v>KS-INJECTION-1000-B0332</x:v>
      </x:c>
      <x:c r="B336" s="14" t="n">
        <x:v>45833</x:v>
      </x:c>
      <x:c r="C336" s="12" t="str">
        <x:v>KS-INJECTION-1000-CIT-202506</x:v>
      </x:c>
      <x:c r="D336" s="12" t="str">
        <x:v>模拟税费账户</x:v>
      </x:c>
      <x:c r="E336" s="12" t="str">
        <x:v>所得税</x:v>
      </x:c>
      <x:c r="F336" s="13" t="n">
        <x:v>0</x:v>
      </x:c>
      <x:c r="G336" s="13" t="n">
        <x:v>403495</x:v>
      </x:c>
      <x:c r="H336" s="13" t="n">
        <x:v>11298310</x:v>
      </x:c>
      <x:c r="I336" s="12" t="str">
        <x:v>CNY</x:v>
      </x:c>
      <x:c r="J336" s="12" t="str">
        <x:v>SYNTHETIC</x:v>
      </x:c>
    </x:row>
    <x:row r="337" ht="38" customHeight="1">
      <x:c r="A337" s="12" t="str">
        <x:v>KS-INJECTION-1000-B0333</x:v>
      </x:c>
      <x:c r="B337" s="14" t="n">
        <x:v>45850</x:v>
      </x:c>
      <x:c r="C337" s="12" t="str">
        <x:v>KS-INJECTION-1000-S-202507-1</x:v>
      </x:c>
      <x:c r="D337" s="12" t="str">
        <x:v>模拟下游1</x:v>
      </x:c>
      <x:c r="E337" s="12" t="str">
        <x:v>销售回款</x:v>
      </x:c>
      <x:c r="F337" s="13" t="n">
        <x:v>2032721</x:v>
      </x:c>
      <x:c r="G337" s="13" t="n">
        <x:v>0</x:v>
      </x:c>
      <x:c r="H337" s="13" t="n">
        <x:v>13331031</x:v>
      </x:c>
      <x:c r="I337" s="12" t="str">
        <x:v>CNY</x:v>
      </x:c>
      <x:c r="J337" s="12" t="str">
        <x:v>SYNTHETIC</x:v>
      </x:c>
    </x:row>
    <x:row r="338" ht="38" customHeight="1">
      <x:c r="A338" s="12" t="str">
        <x:v>KS-INJECTION-1000-B0334</x:v>
      </x:c>
      <x:c r="B338" s="14" t="n">
        <x:v>45851</x:v>
      </x:c>
      <x:c r="C338" s="12" t="str">
        <x:v>KS-INJECTION-1000-S-202507-2</x:v>
      </x:c>
      <x:c r="D338" s="12" t="str">
        <x:v>模拟下游2</x:v>
      </x:c>
      <x:c r="E338" s="12" t="str">
        <x:v>销售回款</x:v>
      </x:c>
      <x:c r="F338" s="13" t="n">
        <x:v>1972935</x:v>
      </x:c>
      <x:c r="G338" s="13" t="n">
        <x:v>0</x:v>
      </x:c>
      <x:c r="H338" s="13" t="n">
        <x:v>15303966</x:v>
      </x:c>
      <x:c r="I338" s="12" t="str">
        <x:v>CNY</x:v>
      </x:c>
      <x:c r="J338" s="12" t="str">
        <x:v>SYNTHETIC</x:v>
      </x:c>
    </x:row>
    <x:row r="339" ht="38" customHeight="1">
      <x:c r="A339" s="12" t="str">
        <x:v>KS-INJECTION-1000-B0335</x:v>
      </x:c>
      <x:c r="B339" s="14" t="n">
        <x:v>45852</x:v>
      </x:c>
      <x:c r="C339" s="12" t="str">
        <x:v>KS-INJECTION-1000-S-202507-3</x:v>
      </x:c>
      <x:c r="D339" s="12" t="str">
        <x:v>模拟下游3</x:v>
      </x:c>
      <x:c r="E339" s="12" t="str">
        <x:v>销售回款</x:v>
      </x:c>
      <x:c r="F339" s="13" t="n">
        <x:v>1972934</x:v>
      </x:c>
      <x:c r="G339" s="13" t="n">
        <x:v>0</x:v>
      </x:c>
      <x:c r="H339" s="13" t="n">
        <x:v>17276900</x:v>
      </x:c>
      <x:c r="I339" s="12" t="str">
        <x:v>CNY</x:v>
      </x:c>
      <x:c r="J339" s="12" t="str">
        <x:v>SYNTHETIC</x:v>
      </x:c>
    </x:row>
    <x:row r="340" ht="38" customHeight="1">
      <x:c r="A340" s="12" t="str">
        <x:v>KS-INJECTION-1000-B0336</x:v>
      </x:c>
      <x:c r="B340" s="14" t="n">
        <x:v>45854</x:v>
      </x:c>
      <x:c r="C340" s="12" t="str">
        <x:v>KS-INJECTION-1000-P-202507-1</x:v>
      </x:c>
      <x:c r="D340" s="12" t="str">
        <x:v>模拟原料商1</x:v>
      </x:c>
      <x:c r="E340" s="12" t="str">
        <x:v>原料付款</x:v>
      </x:c>
      <x:c r="F340" s="13" t="n">
        <x:v>0</x:v>
      </x:c>
      <x:c r="G340" s="13" t="n">
        <x:v>1542476</x:v>
      </x:c>
      <x:c r="H340" s="13" t="n">
        <x:v>15734424</x:v>
      </x:c>
      <x:c r="I340" s="12" t="str">
        <x:v>CNY</x:v>
      </x:c>
      <x:c r="J340" s="12" t="str">
        <x:v>SYNTHETIC</x:v>
      </x:c>
    </x:row>
    <x:row r="341" ht="38" customHeight="1">
      <x:c r="A341" s="12" t="str">
        <x:v>KS-INJECTION-1000-B0337</x:v>
      </x:c>
      <x:c r="B341" s="14" t="n">
        <x:v>45855</x:v>
      </x:c>
      <x:c r="C341" s="12" t="str">
        <x:v>KS-INJECTION-1000-P-202507-2</x:v>
      </x:c>
      <x:c r="D341" s="12" t="str">
        <x:v>模拟原料商2</x:v>
      </x:c>
      <x:c r="E341" s="12" t="str">
        <x:v>原料付款</x:v>
      </x:c>
      <x:c r="F341" s="13" t="n">
        <x:v>0</x:v>
      </x:c>
      <x:c r="G341" s="13" t="n">
        <x:v>1028318</x:v>
      </x:c>
      <x:c r="H341" s="13" t="n">
        <x:v>14706106</x:v>
      </x:c>
      <x:c r="I341" s="12" t="str">
        <x:v>CNY</x:v>
      </x:c>
      <x:c r="J341" s="12" t="str">
        <x:v>SYNTHETIC</x:v>
      </x:c>
    </x:row>
    <x:row r="342" ht="38" customHeight="1">
      <x:c r="A342" s="12" t="str">
        <x:v>KS-INJECTION-1000-B0338</x:v>
      </x:c>
      <x:c r="B342" s="14" t="n">
        <x:v>45863</x:v>
      </x:c>
      <x:c r="C342" s="12" t="str">
        <x:v>KS-INJECTION-1000-PAY-202507</x:v>
      </x:c>
      <x:c r="D342" s="12" t="str">
        <x:v>模拟工资代发</x:v>
      </x:c>
      <x:c r="E342" s="12" t="str">
        <x:v>工资</x:v>
      </x:c>
      <x:c r="F342" s="13" t="n">
        <x:v>0</x:v>
      </x:c>
      <x:c r="G342" s="13" t="n">
        <x:v>520000</x:v>
      </x:c>
      <x:c r="H342" s="13" t="n">
        <x:v>14186106</x:v>
      </x:c>
      <x:c r="I342" s="12" t="str">
        <x:v>CNY</x:v>
      </x:c>
      <x:c r="J342" s="12" t="str">
        <x:v>SYNTHETIC</x:v>
      </x:c>
    </x:row>
    <x:row r="343" ht="38" customHeight="1">
      <x:c r="A343" s="12" t="str">
        <x:v>KS-INJECTION-1000-B0339</x:v>
      </x:c>
      <x:c r="B343" s="14" t="n">
        <x:v>45863</x:v>
      </x:c>
      <x:c r="C343" s="12" t="str">
        <x:v>KS-INJECTION-1000-ELEC-202507</x:v>
      </x:c>
      <x:c r="D343" s="12" t="str">
        <x:v>模拟供电结算</x:v>
      </x:c>
      <x:c r="E343" s="12" t="str">
        <x:v>电费</x:v>
      </x:c>
      <x:c r="F343" s="13" t="n">
        <x:v>0</x:v>
      </x:c>
      <x:c r="G343" s="13" t="n">
        <x:v>280800</x:v>
      </x:c>
      <x:c r="H343" s="13" t="n">
        <x:v>13905306</x:v>
      </x:c>
      <x:c r="I343" s="12" t="str">
        <x:v>CNY</x:v>
      </x:c>
      <x:c r="J343" s="12" t="str">
        <x:v>SYNTHETIC</x:v>
      </x:c>
    </x:row>
    <x:row r="344" ht="38" customHeight="1">
      <x:c r="A344" s="12" t="str">
        <x:v>KS-INJECTION-1000-B0340</x:v>
      </x:c>
      <x:c r="B344" s="14" t="n">
        <x:v>45863</x:v>
      </x:c>
      <x:c r="C344" s="12" t="str">
        <x:v>KS-INJECTION-1000-OPEX-202507</x:v>
      </x:c>
      <x:c r="D344" s="12" t="str">
        <x:v>模拟费用结算</x:v>
      </x:c>
      <x:c r="E344" s="12" t="str">
        <x:v>管理销售费用</x:v>
      </x:c>
      <x:c r="F344" s="13" t="n">
        <x:v>0</x:v>
      </x:c>
      <x:c r="G344" s="13" t="n">
        <x:v>320000</x:v>
      </x:c>
      <x:c r="H344" s="13" t="n">
        <x:v>13585306</x:v>
      </x:c>
      <x:c r="I344" s="12" t="str">
        <x:v>CNY</x:v>
      </x:c>
      <x:c r="J344" s="12" t="str">
        <x:v>SYNTHETIC</x:v>
      </x:c>
    </x:row>
    <x:row r="345" ht="38" customHeight="1">
      <x:c r="A345" s="12" t="str">
        <x:v>KS-INJECTION-1000-B0341</x:v>
      </x:c>
      <x:c r="B345" s="14" t="n">
        <x:v>45863</x:v>
      </x:c>
      <x:c r="C345" s="12" t="str">
        <x:v>KS-INJECTION-1000-INT-202507</x:v>
      </x:c>
      <x:c r="D345" s="12" t="str">
        <x:v>模拟融资机构</x:v>
      </x:c>
      <x:c r="E345" s="12" t="str">
        <x:v>利息</x:v>
      </x:c>
      <x:c r="F345" s="13" t="n">
        <x:v>0</x:v>
      </x:c>
      <x:c r="G345" s="13" t="n">
        <x:v>25000</x:v>
      </x:c>
      <x:c r="H345" s="13" t="n">
        <x:v>13560306</x:v>
      </x:c>
      <x:c r="I345" s="12" t="str">
        <x:v>CNY</x:v>
      </x:c>
      <x:c r="J345" s="12" t="str">
        <x:v>SYNTHETIC</x:v>
      </x:c>
    </x:row>
    <x:row r="346" ht="38" customHeight="1">
      <x:c r="A346" s="12" t="str">
        <x:v>KS-INJECTION-1000-B0342</x:v>
      </x:c>
      <x:c r="B346" s="14" t="n">
        <x:v>45863</x:v>
      </x:c>
      <x:c r="C346" s="12" t="str">
        <x:v>KS-INJECTION-1000-VAT-202507</x:v>
      </x:c>
      <x:c r="D346" s="12" t="str">
        <x:v>模拟税费账户</x:v>
      </x:c>
      <x:c r="E346" s="12" t="str">
        <x:v>增值税</x:v>
      </x:c>
      <x:c r="F346" s="13" t="n">
        <x:v>0</x:v>
      </x:c>
      <x:c r="G346" s="13" t="n">
        <x:v>392047</x:v>
      </x:c>
      <x:c r="H346" s="13" t="n">
        <x:v>13168259</x:v>
      </x:c>
      <x:c r="I346" s="12" t="str">
        <x:v>CNY</x:v>
      </x:c>
      <x:c r="J346" s="12" t="str">
        <x:v>SYNTHETIC</x:v>
      </x:c>
    </x:row>
    <x:row r="347" ht="38" customHeight="1">
      <x:c r="A347" s="12" t="str">
        <x:v>KS-INJECTION-1000-B0343</x:v>
      </x:c>
      <x:c r="B347" s="14" t="n">
        <x:v>45863</x:v>
      </x:c>
      <x:c r="C347" s="12" t="str">
        <x:v>KS-INJECTION-1000-CIT-202507</x:v>
      </x:c>
      <x:c r="D347" s="12" t="str">
        <x:v>模拟税费账户</x:v>
      </x:c>
      <x:c r="E347" s="12" t="str">
        <x:v>所得税</x:v>
      </x:c>
      <x:c r="F347" s="13" t="n">
        <x:v>0</x:v>
      </x:c>
      <x:c r="G347" s="13" t="n">
        <x:v>422487</x:v>
      </x:c>
      <x:c r="H347" s="13" t="n">
        <x:v>12745772</x:v>
      </x:c>
      <x:c r="I347" s="12" t="str">
        <x:v>CNY</x:v>
      </x:c>
      <x:c r="J347" s="12" t="str">
        <x:v>SYNTHETIC</x:v>
      </x:c>
    </x:row>
    <x:row r="348" ht="38" customHeight="1">
      <x:c r="A348" s="12" t="str">
        <x:v>KS-INJECTION-1000-B0344</x:v>
      </x:c>
      <x:c r="B348" s="14" t="n">
        <x:v>45881</x:v>
      </x:c>
      <x:c r="C348" s="12" t="str">
        <x:v>KS-INJECTION-1000-S-202508-1</x:v>
      </x:c>
      <x:c r="D348" s="12" t="str">
        <x:v>模拟下游1</x:v>
      </x:c>
      <x:c r="E348" s="12" t="str">
        <x:v>销售回款</x:v>
      </x:c>
      <x:c r="F348" s="13" t="n">
        <x:v>2032721</x:v>
      </x:c>
      <x:c r="G348" s="13" t="n">
        <x:v>0</x:v>
      </x:c>
      <x:c r="H348" s="13" t="n">
        <x:v>14778493</x:v>
      </x:c>
      <x:c r="I348" s="12" t="str">
        <x:v>CNY</x:v>
      </x:c>
      <x:c r="J348" s="12" t="str">
        <x:v>SYNTHETIC</x:v>
      </x:c>
    </x:row>
    <x:row r="349" ht="38" customHeight="1">
      <x:c r="A349" s="12" t="str">
        <x:v>KS-INJECTION-1000-B0345</x:v>
      </x:c>
      <x:c r="B349" s="14" t="n">
        <x:v>45882</x:v>
      </x:c>
      <x:c r="C349" s="12" t="str">
        <x:v>KS-INJECTION-1000-S-202508-2</x:v>
      </x:c>
      <x:c r="D349" s="12" t="str">
        <x:v>模拟下游2</x:v>
      </x:c>
      <x:c r="E349" s="12" t="str">
        <x:v>销售回款</x:v>
      </x:c>
      <x:c r="F349" s="13" t="n">
        <x:v>1972935</x:v>
      </x:c>
      <x:c r="G349" s="13" t="n">
        <x:v>0</x:v>
      </x:c>
      <x:c r="H349" s="13" t="n">
        <x:v>16751428</x:v>
      </x:c>
      <x:c r="I349" s="12" t="str">
        <x:v>CNY</x:v>
      </x:c>
      <x:c r="J349" s="12" t="str">
        <x:v>SYNTHETIC</x:v>
      </x:c>
    </x:row>
    <x:row r="350" ht="38" customHeight="1">
      <x:c r="A350" s="12" t="str">
        <x:v>KS-INJECTION-1000-B0346</x:v>
      </x:c>
      <x:c r="B350" s="14" t="n">
        <x:v>45883</x:v>
      </x:c>
      <x:c r="C350" s="12" t="str">
        <x:v>KS-INJECTION-1000-S-202508-3</x:v>
      </x:c>
      <x:c r="D350" s="12" t="str">
        <x:v>模拟下游3</x:v>
      </x:c>
      <x:c r="E350" s="12" t="str">
        <x:v>销售回款</x:v>
      </x:c>
      <x:c r="F350" s="13" t="n">
        <x:v>1972934</x:v>
      </x:c>
      <x:c r="G350" s="13" t="n">
        <x:v>0</x:v>
      </x:c>
      <x:c r="H350" s="13" t="n">
        <x:v>18724362</x:v>
      </x:c>
      <x:c r="I350" s="12" t="str">
        <x:v>CNY</x:v>
      </x:c>
      <x:c r="J350" s="12" t="str">
        <x:v>SYNTHETIC</x:v>
      </x:c>
    </x:row>
    <x:row r="351" ht="38" customHeight="1">
      <x:c r="A351" s="12" t="str">
        <x:v>KS-INJECTION-1000-B0347</x:v>
      </x:c>
      <x:c r="B351" s="14" t="n">
        <x:v>45885</x:v>
      </x:c>
      <x:c r="C351" s="12" t="str">
        <x:v>KS-INJECTION-1000-P-202508-1</x:v>
      </x:c>
      <x:c r="D351" s="12" t="str">
        <x:v>模拟原料商1</x:v>
      </x:c>
      <x:c r="E351" s="12" t="str">
        <x:v>原料付款</x:v>
      </x:c>
      <x:c r="F351" s="13" t="n">
        <x:v>0</x:v>
      </x:c>
      <x:c r="G351" s="13" t="n">
        <x:v>1542476</x:v>
      </x:c>
      <x:c r="H351" s="13" t="n">
        <x:v>17181886</x:v>
      </x:c>
      <x:c r="I351" s="12" t="str">
        <x:v>CNY</x:v>
      </x:c>
      <x:c r="J351" s="12" t="str">
        <x:v>SYNTHETIC</x:v>
      </x:c>
    </x:row>
    <x:row r="352" ht="38" customHeight="1">
      <x:c r="A352" s="12" t="str">
        <x:v>KS-INJECTION-1000-B0348</x:v>
      </x:c>
      <x:c r="B352" s="14" t="n">
        <x:v>45886</x:v>
      </x:c>
      <x:c r="C352" s="12" t="str">
        <x:v>KS-INJECTION-1000-P-202508-2</x:v>
      </x:c>
      <x:c r="D352" s="12" t="str">
        <x:v>模拟原料商2</x:v>
      </x:c>
      <x:c r="E352" s="12" t="str">
        <x:v>原料付款</x:v>
      </x:c>
      <x:c r="F352" s="13" t="n">
        <x:v>0</x:v>
      </x:c>
      <x:c r="G352" s="13" t="n">
        <x:v>1028318</x:v>
      </x:c>
      <x:c r="H352" s="13" t="n">
        <x:v>16153568</x:v>
      </x:c>
      <x:c r="I352" s="12" t="str">
        <x:v>CNY</x:v>
      </x:c>
      <x:c r="J352" s="12" t="str">
        <x:v>SYNTHETIC</x:v>
      </x:c>
    </x:row>
    <x:row r="353" ht="38" customHeight="1">
      <x:c r="A353" s="12" t="str">
        <x:v>KS-INJECTION-1000-B0349</x:v>
      </x:c>
      <x:c r="B353" s="14" t="n">
        <x:v>45894</x:v>
      </x:c>
      <x:c r="C353" s="12" t="str">
        <x:v>KS-INJECTION-1000-PAY-202508</x:v>
      </x:c>
      <x:c r="D353" s="12" t="str">
        <x:v>模拟工资代发</x:v>
      </x:c>
      <x:c r="E353" s="12" t="str">
        <x:v>工资</x:v>
      </x:c>
      <x:c r="F353" s="13" t="n">
        <x:v>0</x:v>
      </x:c>
      <x:c r="G353" s="13" t="n">
        <x:v>520000</x:v>
      </x:c>
      <x:c r="H353" s="13" t="n">
        <x:v>15633568</x:v>
      </x:c>
      <x:c r="I353" s="12" t="str">
        <x:v>CNY</x:v>
      </x:c>
      <x:c r="J353" s="12" t="str">
        <x:v>SYNTHETIC</x:v>
      </x:c>
    </x:row>
    <x:row r="354" ht="38" customHeight="1">
      <x:c r="A354" s="12" t="str">
        <x:v>KS-INJECTION-1000-B0350</x:v>
      </x:c>
      <x:c r="B354" s="14" t="n">
        <x:v>45894</x:v>
      </x:c>
      <x:c r="C354" s="12" t="str">
        <x:v>KS-INJECTION-1000-ELEC-202508</x:v>
      </x:c>
      <x:c r="D354" s="12" t="str">
        <x:v>模拟供电结算</x:v>
      </x:c>
      <x:c r="E354" s="12" t="str">
        <x:v>电费</x:v>
      </x:c>
      <x:c r="F354" s="13" t="n">
        <x:v>0</x:v>
      </x:c>
      <x:c r="G354" s="13" t="n">
        <x:v>280800</x:v>
      </x:c>
      <x:c r="H354" s="13" t="n">
        <x:v>15352768</x:v>
      </x:c>
      <x:c r="I354" s="12" t="str">
        <x:v>CNY</x:v>
      </x:c>
      <x:c r="J354" s="12" t="str">
        <x:v>SYNTHETIC</x:v>
      </x:c>
    </x:row>
    <x:row r="355" ht="38" customHeight="1">
      <x:c r="A355" s="12" t="str">
        <x:v>KS-INJECTION-1000-B0351</x:v>
      </x:c>
      <x:c r="B355" s="14" t="n">
        <x:v>45894</x:v>
      </x:c>
      <x:c r="C355" s="12" t="str">
        <x:v>KS-INJECTION-1000-OPEX-202508</x:v>
      </x:c>
      <x:c r="D355" s="12" t="str">
        <x:v>模拟费用结算</x:v>
      </x:c>
      <x:c r="E355" s="12" t="str">
        <x:v>管理销售费用</x:v>
      </x:c>
      <x:c r="F355" s="13" t="n">
        <x:v>0</x:v>
      </x:c>
      <x:c r="G355" s="13" t="n">
        <x:v>320000</x:v>
      </x:c>
      <x:c r="H355" s="13" t="n">
        <x:v>15032768</x:v>
      </x:c>
      <x:c r="I355" s="12" t="str">
        <x:v>CNY</x:v>
      </x:c>
      <x:c r="J355" s="12" t="str">
        <x:v>SYNTHETIC</x:v>
      </x:c>
    </x:row>
    <x:row r="356" ht="38" customHeight="1">
      <x:c r="A356" s="12" t="str">
        <x:v>KS-INJECTION-1000-B0352</x:v>
      </x:c>
      <x:c r="B356" s="14" t="n">
        <x:v>45894</x:v>
      </x:c>
      <x:c r="C356" s="12" t="str">
        <x:v>KS-INJECTION-1000-INT-202508</x:v>
      </x:c>
      <x:c r="D356" s="12" t="str">
        <x:v>模拟融资机构</x:v>
      </x:c>
      <x:c r="E356" s="12" t="str">
        <x:v>利息</x:v>
      </x:c>
      <x:c r="F356" s="13" t="n">
        <x:v>0</x:v>
      </x:c>
      <x:c r="G356" s="13" t="n">
        <x:v>25000</x:v>
      </x:c>
      <x:c r="H356" s="13" t="n">
        <x:v>15007768</x:v>
      </x:c>
      <x:c r="I356" s="12" t="str">
        <x:v>CNY</x:v>
      </x:c>
      <x:c r="J356" s="12" t="str">
        <x:v>SYNTHETIC</x:v>
      </x:c>
    </x:row>
    <x:row r="357" ht="38" customHeight="1">
      <x:c r="A357" s="12" t="str">
        <x:v>KS-INJECTION-1000-B0353</x:v>
      </x:c>
      <x:c r="B357" s="14" t="n">
        <x:v>45894</x:v>
      </x:c>
      <x:c r="C357" s="12" t="str">
        <x:v>KS-INJECTION-1000-VAT-202508</x:v>
      </x:c>
      <x:c r="D357" s="12" t="str">
        <x:v>模拟税费账户</x:v>
      </x:c>
      <x:c r="E357" s="12" t="str">
        <x:v>增值税</x:v>
      </x:c>
      <x:c r="F357" s="13" t="n">
        <x:v>0</x:v>
      </x:c>
      <x:c r="G357" s="13" t="n">
        <x:v>392047</x:v>
      </x:c>
      <x:c r="H357" s="13" t="n">
        <x:v>14615721</x:v>
      </x:c>
      <x:c r="I357" s="12" t="str">
        <x:v>CNY</x:v>
      </x:c>
      <x:c r="J357" s="12" t="str">
        <x:v>SYNTHETIC</x:v>
      </x:c>
    </x:row>
    <x:row r="358" ht="38" customHeight="1">
      <x:c r="A358" s="12" t="str">
        <x:v>KS-INJECTION-1000-B0354</x:v>
      </x:c>
      <x:c r="B358" s="14" t="n">
        <x:v>45894</x:v>
      </x:c>
      <x:c r="C358" s="12" t="str">
        <x:v>KS-INJECTION-1000-CIT-202508</x:v>
      </x:c>
      <x:c r="D358" s="12" t="str">
        <x:v>模拟税费账户</x:v>
      </x:c>
      <x:c r="E358" s="12" t="str">
        <x:v>所得税</x:v>
      </x:c>
      <x:c r="F358" s="13" t="n">
        <x:v>0</x:v>
      </x:c>
      <x:c r="G358" s="13" t="n">
        <x:v>422487</x:v>
      </x:c>
      <x:c r="H358" s="13" t="n">
        <x:v>14193234</x:v>
      </x:c>
      <x:c r="I358" s="12" t="str">
        <x:v>CNY</x:v>
      </x:c>
      <x:c r="J358" s="12" t="str">
        <x:v>SYNTHETIC</x:v>
      </x:c>
    </x:row>
    <x:row r="359" ht="38" customHeight="1">
      <x:c r="A359" s="12" t="str">
        <x:v>KS-INJECTION-1000-B0355</x:v>
      </x:c>
      <x:c r="B359" s="14" t="n">
        <x:v>45912</x:v>
      </x:c>
      <x:c r="C359" s="12" t="str">
        <x:v>KS-INJECTION-1000-S-202509-1</x:v>
      </x:c>
      <x:c r="D359" s="12" t="str">
        <x:v>模拟下游1</x:v>
      </x:c>
      <x:c r="E359" s="12" t="str">
        <x:v>销售回款</x:v>
      </x:c>
      <x:c r="F359" s="13" t="n">
        <x:v>1957438</x:v>
      </x:c>
      <x:c r="G359" s="13" t="n">
        <x:v>0</x:v>
      </x:c>
      <x:c r="H359" s="13" t="n">
        <x:v>16150672</x:v>
      </x:c>
      <x:c r="I359" s="12" t="str">
        <x:v>CNY</x:v>
      </x:c>
      <x:c r="J359" s="12" t="str">
        <x:v>SYNTHETIC</x:v>
      </x:c>
    </x:row>
    <x:row r="360" ht="38" customHeight="1">
      <x:c r="A360" s="12" t="str">
        <x:v>KS-INJECTION-1000-B0356</x:v>
      </x:c>
      <x:c r="B360" s="14" t="n">
        <x:v>45913</x:v>
      </x:c>
      <x:c r="C360" s="12" t="str">
        <x:v>KS-INJECTION-1000-S-202509-2</x:v>
      </x:c>
      <x:c r="D360" s="12" t="str">
        <x:v>模拟下游2</x:v>
      </x:c>
      <x:c r="E360" s="12" t="str">
        <x:v>销售回款</x:v>
      </x:c>
      <x:c r="F360" s="13" t="n">
        <x:v>1899866</x:v>
      </x:c>
      <x:c r="G360" s="13" t="n">
        <x:v>0</x:v>
      </x:c>
      <x:c r="H360" s="13" t="n">
        <x:v>18050538</x:v>
      </x:c>
      <x:c r="I360" s="12" t="str">
        <x:v>CNY</x:v>
      </x:c>
      <x:c r="J360" s="12" t="str">
        <x:v>SYNTHETIC</x:v>
      </x:c>
    </x:row>
    <x:row r="361" ht="38" customHeight="1">
      <x:c r="A361" s="12" t="str">
        <x:v>KS-INJECTION-1000-B0357</x:v>
      </x:c>
      <x:c r="B361" s="14" t="n">
        <x:v>45914</x:v>
      </x:c>
      <x:c r="C361" s="12" t="str">
        <x:v>KS-INJECTION-1000-S-202509-3</x:v>
      </x:c>
      <x:c r="D361" s="12" t="str">
        <x:v>模拟下游3</x:v>
      </x:c>
      <x:c r="E361" s="12" t="str">
        <x:v>销售回款</x:v>
      </x:c>
      <x:c r="F361" s="13" t="n">
        <x:v>1899865</x:v>
      </x:c>
      <x:c r="G361" s="13" t="n">
        <x:v>0</x:v>
      </x:c>
      <x:c r="H361" s="13" t="n">
        <x:v>19950403</x:v>
      </x:c>
      <x:c r="I361" s="12" t="str">
        <x:v>CNY</x:v>
      </x:c>
      <x:c r="J361" s="12" t="str">
        <x:v>SYNTHETIC</x:v>
      </x:c>
    </x:row>
    <x:row r="362" ht="38" customHeight="1">
      <x:c r="A362" s="12" t="str">
        <x:v>KS-INJECTION-1000-B0358</x:v>
      </x:c>
      <x:c r="B362" s="14" t="n">
        <x:v>45916</x:v>
      </x:c>
      <x:c r="C362" s="12" t="str">
        <x:v>KS-INJECTION-1000-P-202509-1</x:v>
      </x:c>
      <x:c r="D362" s="12" t="str">
        <x:v>模拟原料商1</x:v>
      </x:c>
      <x:c r="E362" s="12" t="str">
        <x:v>原料付款</x:v>
      </x:c>
      <x:c r="F362" s="13" t="n">
        <x:v>0</x:v>
      </x:c>
      <x:c r="G362" s="13" t="n">
        <x:v>1485350</x:v>
      </x:c>
      <x:c r="H362" s="13" t="n">
        <x:v>18465053</x:v>
      </x:c>
      <x:c r="I362" s="12" t="str">
        <x:v>CNY</x:v>
      </x:c>
      <x:c r="J362" s="12" t="str">
        <x:v>SYNTHETIC</x:v>
      </x:c>
    </x:row>
    <x:row r="363" ht="38" customHeight="1">
      <x:c r="A363" s="12" t="str">
        <x:v>KS-INJECTION-1000-B0359</x:v>
      </x:c>
      <x:c r="B363" s="14" t="n">
        <x:v>45917</x:v>
      </x:c>
      <x:c r="C363" s="12" t="str">
        <x:v>KS-INJECTION-1000-P-202509-2</x:v>
      </x:c>
      <x:c r="D363" s="12" t="str">
        <x:v>模拟原料商2</x:v>
      </x:c>
      <x:c r="E363" s="12" t="str">
        <x:v>原料付款</x:v>
      </x:c>
      <x:c r="F363" s="13" t="n">
        <x:v>0</x:v>
      </x:c>
      <x:c r="G363" s="13" t="n">
        <x:v>990233</x:v>
      </x:c>
      <x:c r="H363" s="13" t="n">
        <x:v>17474820</x:v>
      </x:c>
      <x:c r="I363" s="12" t="str">
        <x:v>CNY</x:v>
      </x:c>
      <x:c r="J363" s="12" t="str">
        <x:v>SYNTHETIC</x:v>
      </x:c>
    </x:row>
    <x:row r="364" ht="38" customHeight="1">
      <x:c r="A364" s="12" t="str">
        <x:v>KS-INJECTION-1000-B0360</x:v>
      </x:c>
      <x:c r="B364" s="14" t="n">
        <x:v>45925</x:v>
      </x:c>
      <x:c r="C364" s="12" t="str">
        <x:v>KS-INJECTION-1000-PAY-202509</x:v>
      </x:c>
      <x:c r="D364" s="12" t="str">
        <x:v>模拟工资代发</x:v>
      </x:c>
      <x:c r="E364" s="12" t="str">
        <x:v>工资</x:v>
      </x:c>
      <x:c r="F364" s="13" t="n">
        <x:v>0</x:v>
      </x:c>
      <x:c r="G364" s="13" t="n">
        <x:v>520000</x:v>
      </x:c>
      <x:c r="H364" s="13" t="n">
        <x:v>16954820</x:v>
      </x:c>
      <x:c r="I364" s="12" t="str">
        <x:v>CNY</x:v>
      </x:c>
      <x:c r="J364" s="12" t="str">
        <x:v>SYNTHETIC</x:v>
      </x:c>
    </x:row>
    <x:row r="365" ht="38" customHeight="1">
      <x:c r="A365" s="12" t="str">
        <x:v>KS-INJECTION-1000-B0361</x:v>
      </x:c>
      <x:c r="B365" s="14" t="n">
        <x:v>45925</x:v>
      </x:c>
      <x:c r="C365" s="12" t="str">
        <x:v>KS-INJECTION-1000-ELEC-202509</x:v>
      </x:c>
      <x:c r="D365" s="12" t="str">
        <x:v>模拟供电结算</x:v>
      </x:c>
      <x:c r="E365" s="12" t="str">
        <x:v>电费</x:v>
      </x:c>
      <x:c r="F365" s="13" t="n">
        <x:v>0</x:v>
      </x:c>
      <x:c r="G365" s="13" t="n">
        <x:v>270400</x:v>
      </x:c>
      <x:c r="H365" s="13" t="n">
        <x:v>16684420</x:v>
      </x:c>
      <x:c r="I365" s="12" t="str">
        <x:v>CNY</x:v>
      </x:c>
      <x:c r="J365" s="12" t="str">
        <x:v>SYNTHETIC</x:v>
      </x:c>
    </x:row>
    <x:row r="366" ht="38" customHeight="1">
      <x:c r="A366" s="12" t="str">
        <x:v>KS-INJECTION-1000-B0362</x:v>
      </x:c>
      <x:c r="B366" s="14" t="n">
        <x:v>45925</x:v>
      </x:c>
      <x:c r="C366" s="12" t="str">
        <x:v>KS-INJECTION-1000-OPEX-202509</x:v>
      </x:c>
      <x:c r="D366" s="12" t="str">
        <x:v>模拟费用结算</x:v>
      </x:c>
      <x:c r="E366" s="12" t="str">
        <x:v>管理销售费用</x:v>
      </x:c>
      <x:c r="F366" s="13" t="n">
        <x:v>0</x:v>
      </x:c>
      <x:c r="G366" s="13" t="n">
        <x:v>320000</x:v>
      </x:c>
      <x:c r="H366" s="13" t="n">
        <x:v>16364420</x:v>
      </x:c>
      <x:c r="I366" s="12" t="str">
        <x:v>CNY</x:v>
      </x:c>
      <x:c r="J366" s="12" t="str">
        <x:v>SYNTHETIC</x:v>
      </x:c>
    </x:row>
    <x:row r="367" ht="38" customHeight="1">
      <x:c r="A367" s="12" t="str">
        <x:v>KS-INJECTION-1000-B0363</x:v>
      </x:c>
      <x:c r="B367" s="14" t="n">
        <x:v>45925</x:v>
      </x:c>
      <x:c r="C367" s="12" t="str">
        <x:v>KS-INJECTION-1000-INT-202509</x:v>
      </x:c>
      <x:c r="D367" s="12" t="str">
        <x:v>模拟融资机构</x:v>
      </x:c>
      <x:c r="E367" s="12" t="str">
        <x:v>利息</x:v>
      </x:c>
      <x:c r="F367" s="13" t="n">
        <x:v>0</x:v>
      </x:c>
      <x:c r="G367" s="13" t="n">
        <x:v>25000</x:v>
      </x:c>
      <x:c r="H367" s="13" t="n">
        <x:v>16339420</x:v>
      </x:c>
      <x:c r="I367" s="12" t="str">
        <x:v>CNY</x:v>
      </x:c>
      <x:c r="J367" s="12" t="str">
        <x:v>SYNTHETIC</x:v>
      </x:c>
    </x:row>
    <x:row r="368" ht="38" customHeight="1">
      <x:c r="A368" s="12" t="str">
        <x:v>KS-INJECTION-1000-B0364</x:v>
      </x:c>
      <x:c r="B368" s="14" t="n">
        <x:v>45925</x:v>
      </x:c>
      <x:c r="C368" s="12" t="str">
        <x:v>KS-INJECTION-1000-VAT-202509</x:v>
      </x:c>
      <x:c r="D368" s="12" t="str">
        <x:v>模拟税费账户</x:v>
      </x:c>
      <x:c r="E368" s="12" t="str">
        <x:v>增值税</x:v>
      </x:c>
      <x:c r="F368" s="13" t="n">
        <x:v>0</x:v>
      </x:c>
      <x:c r="G368" s="13" t="n">
        <x:v>377527</x:v>
      </x:c>
      <x:c r="H368" s="13" t="n">
        <x:v>15961893</x:v>
      </x:c>
      <x:c r="I368" s="12" t="str">
        <x:v>CNY</x:v>
      </x:c>
      <x:c r="J368" s="12" t="str">
        <x:v>SYNTHETIC</x:v>
      </x:c>
    </x:row>
    <x:row r="369" ht="38" customHeight="1">
      <x:c r="A369" s="12" t="str">
        <x:v>KS-INJECTION-1000-B0365</x:v>
      </x:c>
      <x:c r="B369" s="14" t="n">
        <x:v>45925</x:v>
      </x:c>
      <x:c r="C369" s="12" t="str">
        <x:v>KS-INJECTION-1000-CIT-202509</x:v>
      </x:c>
      <x:c r="D369" s="12" t="str">
        <x:v>模拟税费账户</x:v>
      </x:c>
      <x:c r="E369" s="12" t="str">
        <x:v>所得税</x:v>
      </x:c>
      <x:c r="F369" s="13" t="n">
        <x:v>0</x:v>
      </x:c>
      <x:c r="G369" s="13" t="n">
        <x:v>397165</x:v>
      </x:c>
      <x:c r="H369" s="13" t="n">
        <x:v>15564728</x:v>
      </x:c>
      <x:c r="I369" s="12" t="str">
        <x:v>CNY</x:v>
      </x:c>
      <x:c r="J369" s="12" t="str">
        <x:v>SYNTHETIC</x:v>
      </x:c>
    </x:row>
    <x:row r="370" ht="38" customHeight="1">
      <x:c r="A370" s="12" t="str">
        <x:v>KS-INJECTION-1000-B0366</x:v>
      </x:c>
      <x:c r="B370" s="14" t="n">
        <x:v>45942</x:v>
      </x:c>
      <x:c r="C370" s="12" t="str">
        <x:v>KS-INJECTION-1000-S-202510-1</x:v>
      </x:c>
      <x:c r="D370" s="12" t="str">
        <x:v>模拟下游1</x:v>
      </x:c>
      <x:c r="E370" s="12" t="str">
        <x:v>销售回款</x:v>
      </x:c>
      <x:c r="F370" s="13" t="n">
        <x:v>1919793</x:v>
      </x:c>
      <x:c r="G370" s="13" t="n">
        <x:v>0</x:v>
      </x:c>
      <x:c r="H370" s="13" t="n">
        <x:v>17484521</x:v>
      </x:c>
      <x:c r="I370" s="12" t="str">
        <x:v>CNY</x:v>
      </x:c>
      <x:c r="J370" s="12" t="str">
        <x:v>SYNTHETIC</x:v>
      </x:c>
    </x:row>
    <x:row r="371" ht="38" customHeight="1">
      <x:c r="A371" s="12" t="str">
        <x:v>KS-INJECTION-1000-B0367</x:v>
      </x:c>
      <x:c r="B371" s="14" t="n">
        <x:v>45943</x:v>
      </x:c>
      <x:c r="C371" s="12" t="str">
        <x:v>KS-INJECTION-1000-S-202510-2</x:v>
      </x:c>
      <x:c r="D371" s="12" t="str">
        <x:v>模拟下游2</x:v>
      </x:c>
      <x:c r="E371" s="12" t="str">
        <x:v>销售回款</x:v>
      </x:c>
      <x:c r="F371" s="13" t="n">
        <x:v>1863329</x:v>
      </x:c>
      <x:c r="G371" s="13" t="n">
        <x:v>0</x:v>
      </x:c>
      <x:c r="H371" s="13" t="n">
        <x:v>19347850</x:v>
      </x:c>
      <x:c r="I371" s="12" t="str">
        <x:v>CNY</x:v>
      </x:c>
      <x:c r="J371" s="12" t="str">
        <x:v>SYNTHETIC</x:v>
      </x:c>
    </x:row>
    <x:row r="372" ht="38" customHeight="1">
      <x:c r="A372" s="12" t="str">
        <x:v>KS-INJECTION-1000-B0368</x:v>
      </x:c>
      <x:c r="B372" s="14" t="n">
        <x:v>45944</x:v>
      </x:c>
      <x:c r="C372" s="12" t="str">
        <x:v>KS-INJECTION-1000-S-202510-3</x:v>
      </x:c>
      <x:c r="D372" s="12" t="str">
        <x:v>模拟下游3</x:v>
      </x:c>
      <x:c r="E372" s="12" t="str">
        <x:v>销售回款</x:v>
      </x:c>
      <x:c r="F372" s="13" t="n">
        <x:v>1863330</x:v>
      </x:c>
      <x:c r="G372" s="13" t="n">
        <x:v>0</x:v>
      </x:c>
      <x:c r="H372" s="13" t="n">
        <x:v>21211180</x:v>
      </x:c>
      <x:c r="I372" s="12" t="str">
        <x:v>CNY</x:v>
      </x:c>
      <x:c r="J372" s="12" t="str">
        <x:v>SYNTHETIC</x:v>
      </x:c>
    </x:row>
    <x:row r="373" ht="38" customHeight="1">
      <x:c r="A373" s="12" t="str">
        <x:v>KS-INJECTION-1000-B0369</x:v>
      </x:c>
      <x:c r="B373" s="14" t="n">
        <x:v>45946</x:v>
      </x:c>
      <x:c r="C373" s="12" t="str">
        <x:v>KS-INJECTION-1000-P-202510-1</x:v>
      </x:c>
      <x:c r="D373" s="12" t="str">
        <x:v>模拟原料商1</x:v>
      </x:c>
      <x:c r="E373" s="12" t="str">
        <x:v>原料付款</x:v>
      </x:c>
      <x:c r="F373" s="13" t="n">
        <x:v>0</x:v>
      </x:c>
      <x:c r="G373" s="13" t="n">
        <x:v>1456784</x:v>
      </x:c>
      <x:c r="H373" s="13" t="n">
        <x:v>19754396</x:v>
      </x:c>
      <x:c r="I373" s="12" t="str">
        <x:v>CNY</x:v>
      </x:c>
      <x:c r="J373" s="12" t="str">
        <x:v>SYNTHETIC</x:v>
      </x:c>
    </x:row>
    <x:row r="374" ht="38" customHeight="1">
      <x:c r="A374" s="12" t="str">
        <x:v>KS-INJECTION-1000-B0370</x:v>
      </x:c>
      <x:c r="B374" s="14" t="n">
        <x:v>45947</x:v>
      </x:c>
      <x:c r="C374" s="12" t="str">
        <x:v>KS-INJECTION-1000-P-202510-2</x:v>
      </x:c>
      <x:c r="D374" s="12" t="str">
        <x:v>模拟原料商2</x:v>
      </x:c>
      <x:c r="E374" s="12" t="str">
        <x:v>原料付款</x:v>
      </x:c>
      <x:c r="F374" s="13" t="n">
        <x:v>0</x:v>
      </x:c>
      <x:c r="G374" s="13" t="n">
        <x:v>971190</x:v>
      </x:c>
      <x:c r="H374" s="13" t="n">
        <x:v>18783206</x:v>
      </x:c>
      <x:c r="I374" s="12" t="str">
        <x:v>CNY</x:v>
      </x:c>
      <x:c r="J374" s="12" t="str">
        <x:v>SYNTHETIC</x:v>
      </x:c>
    </x:row>
    <x:row r="375" ht="38" customHeight="1">
      <x:c r="A375" s="12" t="str">
        <x:v>KS-INJECTION-1000-B0371</x:v>
      </x:c>
      <x:c r="B375" s="14" t="n">
        <x:v>45955</x:v>
      </x:c>
      <x:c r="C375" s="12" t="str">
        <x:v>KS-INJECTION-1000-PAY-202510</x:v>
      </x:c>
      <x:c r="D375" s="12" t="str">
        <x:v>模拟工资代发</x:v>
      </x:c>
      <x:c r="E375" s="12" t="str">
        <x:v>工资</x:v>
      </x:c>
      <x:c r="F375" s="13" t="n">
        <x:v>0</x:v>
      </x:c>
      <x:c r="G375" s="13" t="n">
        <x:v>520000</x:v>
      </x:c>
      <x:c r="H375" s="13" t="n">
        <x:v>18263206</x:v>
      </x:c>
      <x:c r="I375" s="12" t="str">
        <x:v>CNY</x:v>
      </x:c>
      <x:c r="J375" s="12" t="str">
        <x:v>SYNTHETIC</x:v>
      </x:c>
    </x:row>
    <x:row r="376" ht="38" customHeight="1">
      <x:c r="A376" s="12" t="str">
        <x:v>KS-INJECTION-1000-B0372</x:v>
      </x:c>
      <x:c r="B376" s="14" t="n">
        <x:v>45955</x:v>
      </x:c>
      <x:c r="C376" s="12" t="str">
        <x:v>KS-INJECTION-1000-ELEC-202510</x:v>
      </x:c>
      <x:c r="D376" s="12" t="str">
        <x:v>模拟供电结算</x:v>
      </x:c>
      <x:c r="E376" s="12" t="str">
        <x:v>电费</x:v>
      </x:c>
      <x:c r="F376" s="13" t="n">
        <x:v>0</x:v>
      </x:c>
      <x:c r="G376" s="13" t="n">
        <x:v>265200</x:v>
      </x:c>
      <x:c r="H376" s="13" t="n">
        <x:v>17998006</x:v>
      </x:c>
      <x:c r="I376" s="12" t="str">
        <x:v>CNY</x:v>
      </x:c>
      <x:c r="J376" s="12" t="str">
        <x:v>SYNTHETIC</x:v>
      </x:c>
    </x:row>
    <x:row r="377" ht="38" customHeight="1">
      <x:c r="A377" s="12" t="str">
        <x:v>KS-INJECTION-1000-B0373</x:v>
      </x:c>
      <x:c r="B377" s="14" t="n">
        <x:v>45955</x:v>
      </x:c>
      <x:c r="C377" s="12" t="str">
        <x:v>KS-INJECTION-1000-OPEX-202510</x:v>
      </x:c>
      <x:c r="D377" s="12" t="str">
        <x:v>模拟费用结算</x:v>
      </x:c>
      <x:c r="E377" s="12" t="str">
        <x:v>管理销售费用</x:v>
      </x:c>
      <x:c r="F377" s="13" t="n">
        <x:v>0</x:v>
      </x:c>
      <x:c r="G377" s="13" t="n">
        <x:v>320000</x:v>
      </x:c>
      <x:c r="H377" s="13" t="n">
        <x:v>17678006</x:v>
      </x:c>
      <x:c r="I377" s="12" t="str">
        <x:v>CNY</x:v>
      </x:c>
      <x:c r="J377" s="12" t="str">
        <x:v>SYNTHETIC</x:v>
      </x:c>
    </x:row>
    <x:row r="378" ht="38" customHeight="1">
      <x:c r="A378" s="12" t="str">
        <x:v>KS-INJECTION-1000-B0374</x:v>
      </x:c>
      <x:c r="B378" s="14" t="n">
        <x:v>45955</x:v>
      </x:c>
      <x:c r="C378" s="12" t="str">
        <x:v>KS-INJECTION-1000-INT-202510</x:v>
      </x:c>
      <x:c r="D378" s="12" t="str">
        <x:v>模拟融资机构</x:v>
      </x:c>
      <x:c r="E378" s="12" t="str">
        <x:v>利息</x:v>
      </x:c>
      <x:c r="F378" s="13" t="n">
        <x:v>0</x:v>
      </x:c>
      <x:c r="G378" s="13" t="n">
        <x:v>25000</x:v>
      </x:c>
      <x:c r="H378" s="13" t="n">
        <x:v>17653006</x:v>
      </x:c>
      <x:c r="I378" s="12" t="str">
        <x:v>CNY</x:v>
      </x:c>
      <x:c r="J378" s="12" t="str">
        <x:v>SYNTHETIC</x:v>
      </x:c>
    </x:row>
    <x:row r="379" ht="38" customHeight="1">
      <x:c r="A379" s="12" t="str">
        <x:v>KS-INJECTION-1000-B0375</x:v>
      </x:c>
      <x:c r="B379" s="14" t="n">
        <x:v>45955</x:v>
      </x:c>
      <x:c r="C379" s="12" t="str">
        <x:v>KS-INJECTION-1000-VAT-202510</x:v>
      </x:c>
      <x:c r="D379" s="12" t="str">
        <x:v>模拟税费账户</x:v>
      </x:c>
      <x:c r="E379" s="12" t="str">
        <x:v>增值税</x:v>
      </x:c>
      <x:c r="F379" s="13" t="n">
        <x:v>0</x:v>
      </x:c>
      <x:c r="G379" s="13" t="n">
        <x:v>370268</x:v>
      </x:c>
      <x:c r="H379" s="13" t="n">
        <x:v>17282738</x:v>
      </x:c>
      <x:c r="I379" s="12" t="str">
        <x:v>CNY</x:v>
      </x:c>
      <x:c r="J379" s="12" t="str">
        <x:v>SYNTHETIC</x:v>
      </x:c>
    </x:row>
    <x:row r="380" ht="38" customHeight="1">
      <x:c r="A380" s="12" t="str">
        <x:v>KS-INJECTION-1000-B0376</x:v>
      </x:c>
      <x:c r="B380" s="14" t="n">
        <x:v>45955</x:v>
      </x:c>
      <x:c r="C380" s="12" t="str">
        <x:v>KS-INJECTION-1000-CIT-202510</x:v>
      </x:c>
      <x:c r="D380" s="12" t="str">
        <x:v>模拟税费账户</x:v>
      </x:c>
      <x:c r="E380" s="12" t="str">
        <x:v>所得税</x:v>
      </x:c>
      <x:c r="F380" s="13" t="n">
        <x:v>0</x:v>
      </x:c>
      <x:c r="G380" s="13" t="n">
        <x:v>384502</x:v>
      </x:c>
      <x:c r="H380" s="13" t="n">
        <x:v>16898236</x:v>
      </x:c>
      <x:c r="I380" s="12" t="str">
        <x:v>CNY</x:v>
      </x:c>
      <x:c r="J380" s="12" t="str">
        <x:v>SYNTHETIC</x:v>
      </x:c>
    </x:row>
    <x:row r="381" ht="38" customHeight="1">
      <x:c r="A381" s="12" t="str">
        <x:v>KS-INJECTION-1000-B0377</x:v>
      </x:c>
      <x:c r="B381" s="14" t="n">
        <x:v>45973</x:v>
      </x:c>
      <x:c r="C381" s="12" t="str">
        <x:v>KS-INJECTION-1000-S-202511-1</x:v>
      </x:c>
      <x:c r="D381" s="12" t="str">
        <x:v>模拟下游1</x:v>
      </x:c>
      <x:c r="E381" s="12" t="str">
        <x:v>销售回款</x:v>
      </x:c>
      <x:c r="F381" s="13" t="n">
        <x:v>1995077</x:v>
      </x:c>
      <x:c r="G381" s="13" t="n">
        <x:v>0</x:v>
      </x:c>
      <x:c r="H381" s="13" t="n">
        <x:v>18893313</x:v>
      </x:c>
      <x:c r="I381" s="12" t="str">
        <x:v>CNY</x:v>
      </x:c>
      <x:c r="J381" s="12" t="str">
        <x:v>SYNTHETIC</x:v>
      </x:c>
    </x:row>
    <x:row r="382" ht="38" customHeight="1">
      <x:c r="A382" s="12" t="str">
        <x:v>KS-INJECTION-1000-B0378</x:v>
      </x:c>
      <x:c r="B382" s="14" t="n">
        <x:v>45974</x:v>
      </x:c>
      <x:c r="C382" s="12" t="str">
        <x:v>KS-INJECTION-1000-S-202511-2</x:v>
      </x:c>
      <x:c r="D382" s="12" t="str">
        <x:v>模拟下游2</x:v>
      </x:c>
      <x:c r="E382" s="12" t="str">
        <x:v>销售回款</x:v>
      </x:c>
      <x:c r="F382" s="13" t="n">
        <x:v>1936398</x:v>
      </x:c>
      <x:c r="G382" s="13" t="n">
        <x:v>0</x:v>
      </x:c>
      <x:c r="H382" s="13" t="n">
        <x:v>20829711</x:v>
      </x:c>
      <x:c r="I382" s="12" t="str">
        <x:v>CNY</x:v>
      </x:c>
      <x:c r="J382" s="12" t="str">
        <x:v>SYNTHETIC</x:v>
      </x:c>
    </x:row>
    <x:row r="383" ht="38" customHeight="1">
      <x:c r="A383" s="12" t="str">
        <x:v>KS-INJECTION-1000-B0379</x:v>
      </x:c>
      <x:c r="B383" s="14" t="n">
        <x:v>45975</x:v>
      </x:c>
      <x:c r="C383" s="12" t="str">
        <x:v>KS-INJECTION-1000-S-202511-3</x:v>
      </x:c>
      <x:c r="D383" s="12" t="str">
        <x:v>模拟下游3</x:v>
      </x:c>
      <x:c r="E383" s="12" t="str">
        <x:v>销售回款</x:v>
      </x:c>
      <x:c r="F383" s="13" t="n">
        <x:v>1936398</x:v>
      </x:c>
      <x:c r="G383" s="13" t="n">
        <x:v>0</x:v>
      </x:c>
      <x:c r="H383" s="13" t="n">
        <x:v>22766109</x:v>
      </x:c>
      <x:c r="I383" s="12" t="str">
        <x:v>CNY</x:v>
      </x:c>
      <x:c r="J383" s="12" t="str">
        <x:v>SYNTHETIC</x:v>
      </x:c>
    </x:row>
    <x:row r="384" ht="38" customHeight="1">
      <x:c r="A384" s="12" t="str">
        <x:v>KS-INJECTION-1000-B0380</x:v>
      </x:c>
      <x:c r="B384" s="14" t="n">
        <x:v>45977</x:v>
      </x:c>
      <x:c r="C384" s="12" t="str">
        <x:v>KS-INJECTION-1000-P-202511-1</x:v>
      </x:c>
      <x:c r="D384" s="12" t="str">
        <x:v>模拟原料商1</x:v>
      </x:c>
      <x:c r="E384" s="12" t="str">
        <x:v>原料付款</x:v>
      </x:c>
      <x:c r="F384" s="13" t="n">
        <x:v>0</x:v>
      </x:c>
      <x:c r="G384" s="13" t="n">
        <x:v>1513911</x:v>
      </x:c>
      <x:c r="H384" s="13" t="n">
        <x:v>21252198</x:v>
      </x:c>
      <x:c r="I384" s="12" t="str">
        <x:v>CNY</x:v>
      </x:c>
      <x:c r="J384" s="12" t="str">
        <x:v>SYNTHETIC</x:v>
      </x:c>
    </x:row>
    <x:row r="385" ht="38" customHeight="1">
      <x:c r="A385" s="12" t="str">
        <x:v>KS-INJECTION-1000-B0381</x:v>
      </x:c>
      <x:c r="B385" s="14" t="n">
        <x:v>45978</x:v>
      </x:c>
      <x:c r="C385" s="12" t="str">
        <x:v>KS-INJECTION-1000-P-202511-2</x:v>
      </x:c>
      <x:c r="D385" s="12" t="str">
        <x:v>模拟原料商2</x:v>
      </x:c>
      <x:c r="E385" s="12" t="str">
        <x:v>原料付款</x:v>
      </x:c>
      <x:c r="F385" s="13" t="n">
        <x:v>0</x:v>
      </x:c>
      <x:c r="G385" s="13" t="n">
        <x:v>1009274</x:v>
      </x:c>
      <x:c r="H385" s="13" t="n">
        <x:v>20242924</x:v>
      </x:c>
      <x:c r="I385" s="12" t="str">
        <x:v>CNY</x:v>
      </x:c>
      <x:c r="J385" s="12" t="str">
        <x:v>SYNTHETIC</x:v>
      </x:c>
    </x:row>
    <x:row r="386" ht="38" customHeight="1">
      <x:c r="A386" s="12" t="str">
        <x:v>KS-INJECTION-1000-B0382</x:v>
      </x:c>
      <x:c r="B386" s="14" t="n">
        <x:v>45986</x:v>
      </x:c>
      <x:c r="C386" s="12" t="str">
        <x:v>KS-INJECTION-1000-PAY-202511</x:v>
      </x:c>
      <x:c r="D386" s="12" t="str">
        <x:v>模拟工资代发</x:v>
      </x:c>
      <x:c r="E386" s="12" t="str">
        <x:v>工资</x:v>
      </x:c>
      <x:c r="F386" s="13" t="n">
        <x:v>0</x:v>
      </x:c>
      <x:c r="G386" s="13" t="n">
        <x:v>520000</x:v>
      </x:c>
      <x:c r="H386" s="13" t="n">
        <x:v>19722924</x:v>
      </x:c>
      <x:c r="I386" s="12" t="str">
        <x:v>CNY</x:v>
      </x:c>
      <x:c r="J386" s="12" t="str">
        <x:v>SYNTHETIC</x:v>
      </x:c>
    </x:row>
    <x:row r="387" ht="38" customHeight="1">
      <x:c r="A387" s="12" t="str">
        <x:v>KS-INJECTION-1000-B0383</x:v>
      </x:c>
      <x:c r="B387" s="14" t="n">
        <x:v>45986</x:v>
      </x:c>
      <x:c r="C387" s="12" t="str">
        <x:v>KS-INJECTION-1000-ELEC-202511</x:v>
      </x:c>
      <x:c r="D387" s="12" t="str">
        <x:v>模拟供电结算</x:v>
      </x:c>
      <x:c r="E387" s="12" t="str">
        <x:v>电费</x:v>
      </x:c>
      <x:c r="F387" s="13" t="n">
        <x:v>0</x:v>
      </x:c>
      <x:c r="G387" s="13" t="n">
        <x:v>275600</x:v>
      </x:c>
      <x:c r="H387" s="13" t="n">
        <x:v>19447324</x:v>
      </x:c>
      <x:c r="I387" s="12" t="str">
        <x:v>CNY</x:v>
      </x:c>
      <x:c r="J387" s="12" t="str">
        <x:v>SYNTHETIC</x:v>
      </x:c>
    </x:row>
    <x:row r="388" ht="38" customHeight="1">
      <x:c r="A388" s="12" t="str">
        <x:v>KS-INJECTION-1000-B0384</x:v>
      </x:c>
      <x:c r="B388" s="14" t="n">
        <x:v>45986</x:v>
      </x:c>
      <x:c r="C388" s="12" t="str">
        <x:v>KS-INJECTION-1000-OPEX-202511</x:v>
      </x:c>
      <x:c r="D388" s="12" t="str">
        <x:v>模拟费用结算</x:v>
      </x:c>
      <x:c r="E388" s="12" t="str">
        <x:v>管理销售费用</x:v>
      </x:c>
      <x:c r="F388" s="13" t="n">
        <x:v>0</x:v>
      </x:c>
      <x:c r="G388" s="13" t="n">
        <x:v>320000</x:v>
      </x:c>
      <x:c r="H388" s="13" t="n">
        <x:v>19127324</x:v>
      </x:c>
      <x:c r="I388" s="12" t="str">
        <x:v>CNY</x:v>
      </x:c>
      <x:c r="J388" s="12" t="str">
        <x:v>SYNTHETIC</x:v>
      </x:c>
    </x:row>
    <x:row r="389" ht="38" customHeight="1">
      <x:c r="A389" s="12" t="str">
        <x:v>KS-INJECTION-1000-B0385</x:v>
      </x:c>
      <x:c r="B389" s="14" t="n">
        <x:v>45986</x:v>
      </x:c>
      <x:c r="C389" s="12" t="str">
        <x:v>KS-INJECTION-1000-INT-202511</x:v>
      </x:c>
      <x:c r="D389" s="12" t="str">
        <x:v>模拟融资机构</x:v>
      </x:c>
      <x:c r="E389" s="12" t="str">
        <x:v>利息</x:v>
      </x:c>
      <x:c r="F389" s="13" t="n">
        <x:v>0</x:v>
      </x:c>
      <x:c r="G389" s="13" t="n">
        <x:v>25000</x:v>
      </x:c>
      <x:c r="H389" s="13" t="n">
        <x:v>19102324</x:v>
      </x:c>
      <x:c r="I389" s="12" t="str">
        <x:v>CNY</x:v>
      </x:c>
      <x:c r="J389" s="12" t="str">
        <x:v>SYNTHETIC</x:v>
      </x:c>
    </x:row>
    <x:row r="390" ht="38" customHeight="1">
      <x:c r="A390" s="12" t="str">
        <x:v>KS-INJECTION-1000-B0386</x:v>
      </x:c>
      <x:c r="B390" s="14" t="n">
        <x:v>45986</x:v>
      </x:c>
      <x:c r="C390" s="12" t="str">
        <x:v>KS-INJECTION-1000-VAT-202511</x:v>
      </x:c>
      <x:c r="D390" s="12" t="str">
        <x:v>模拟税费账户</x:v>
      </x:c>
      <x:c r="E390" s="12" t="str">
        <x:v>增值税</x:v>
      </x:c>
      <x:c r="F390" s="13" t="n">
        <x:v>0</x:v>
      </x:c>
      <x:c r="G390" s="13" t="n">
        <x:v>384787</x:v>
      </x:c>
      <x:c r="H390" s="13" t="n">
        <x:v>18717537</x:v>
      </x:c>
      <x:c r="I390" s="12" t="str">
        <x:v>CNY</x:v>
      </x:c>
      <x:c r="J390" s="12" t="str">
        <x:v>SYNTHETIC</x:v>
      </x:c>
    </x:row>
    <x:row r="391" ht="38" customHeight="1">
      <x:c r="A391" s="12" t="str">
        <x:v>KS-INJECTION-1000-B0387</x:v>
      </x:c>
      <x:c r="B391" s="14" t="n">
        <x:v>45986</x:v>
      </x:c>
      <x:c r="C391" s="12" t="str">
        <x:v>KS-INJECTION-1000-CIT-202511</x:v>
      </x:c>
      <x:c r="D391" s="12" t="str">
        <x:v>模拟税费账户</x:v>
      </x:c>
      <x:c r="E391" s="12" t="str">
        <x:v>所得税</x:v>
      </x:c>
      <x:c r="F391" s="13" t="n">
        <x:v>0</x:v>
      </x:c>
      <x:c r="G391" s="13" t="n">
        <x:v>409825</x:v>
      </x:c>
      <x:c r="H391" s="13" t="n">
        <x:v>18307712</x:v>
      </x:c>
      <x:c r="I391" s="12" t="str">
        <x:v>CNY</x:v>
      </x:c>
      <x:c r="J391" s="12" t="str">
        <x:v>SYNTHETIC</x:v>
      </x:c>
    </x:row>
    <x:row r="392" ht="38" customHeight="1">
      <x:c r="A392" s="12" t="str">
        <x:v>KS-INJECTION-1000-B0388</x:v>
      </x:c>
      <x:c r="B392" s="14" t="n">
        <x:v>46003</x:v>
      </x:c>
      <x:c r="C392" s="12" t="str">
        <x:v>KS-INJECTION-1000-S-202512-1</x:v>
      </x:c>
      <x:c r="D392" s="12" t="str">
        <x:v>模拟下游1</x:v>
      </x:c>
      <x:c r="E392" s="12" t="str">
        <x:v>销售回款</x:v>
      </x:c>
      <x:c r="F392" s="13" t="n">
        <x:v>2070365</x:v>
      </x:c>
      <x:c r="G392" s="13" t="n">
        <x:v>0</x:v>
      </x:c>
      <x:c r="H392" s="13" t="n">
        <x:v>20378077</x:v>
      </x:c>
      <x:c r="I392" s="12" t="str">
        <x:v>CNY</x:v>
      </x:c>
      <x:c r="J392" s="12" t="str">
        <x:v>SYNTHETIC</x:v>
      </x:c>
    </x:row>
    <x:row r="393" ht="38" customHeight="1">
      <x:c r="A393" s="12" t="str">
        <x:v>KS-INJECTION-1000-B0389</x:v>
      </x:c>
      <x:c r="B393" s="14" t="n">
        <x:v>46004</x:v>
      </x:c>
      <x:c r="C393" s="12" t="str">
        <x:v>KS-INJECTION-1000-S-202512-2</x:v>
      </x:c>
      <x:c r="D393" s="12" t="str">
        <x:v>模拟下游2</x:v>
      </x:c>
      <x:c r="E393" s="12" t="str">
        <x:v>销售回款</x:v>
      </x:c>
      <x:c r="F393" s="13" t="n">
        <x:v>2009471</x:v>
      </x:c>
      <x:c r="G393" s="13" t="n">
        <x:v>0</x:v>
      </x:c>
      <x:c r="H393" s="13" t="n">
        <x:v>22387548</x:v>
      </x:c>
      <x:c r="I393" s="12" t="str">
        <x:v>CNY</x:v>
      </x:c>
      <x:c r="J393" s="12" t="str">
        <x:v>SYNTHETIC</x:v>
      </x:c>
    </x:row>
    <x:row r="394" ht="38" customHeight="1">
      <x:c r="A394" s="12" t="str">
        <x:v>KS-INJECTION-1000-B0390</x:v>
      </x:c>
      <x:c r="B394" s="14" t="n">
        <x:v>46005</x:v>
      </x:c>
      <x:c r="C394" s="12" t="str">
        <x:v>KS-INJECTION-1000-S-202512-3</x:v>
      </x:c>
      <x:c r="D394" s="12" t="str">
        <x:v>模拟下游3</x:v>
      </x:c>
      <x:c r="E394" s="12" t="str">
        <x:v>销售回款</x:v>
      </x:c>
      <x:c r="F394" s="13" t="n">
        <x:v>2009472</x:v>
      </x:c>
      <x:c r="G394" s="13" t="n">
        <x:v>0</x:v>
      </x:c>
      <x:c r="H394" s="13" t="n">
        <x:v>24397020</x:v>
      </x:c>
      <x:c r="I394" s="12" t="str">
        <x:v>CNY</x:v>
      </x:c>
      <x:c r="J394" s="12" t="str">
        <x:v>SYNTHETIC</x:v>
      </x:c>
    </x:row>
    <x:row r="395" ht="38" customHeight="1">
      <x:c r="A395" s="12" t="str">
        <x:v>KS-INJECTION-1000-B0391</x:v>
      </x:c>
      <x:c r="B395" s="14" t="n">
        <x:v>46007</x:v>
      </x:c>
      <x:c r="C395" s="12" t="str">
        <x:v>KS-INJECTION-1000-P-202512-1</x:v>
      </x:c>
      <x:c r="D395" s="12" t="str">
        <x:v>模拟原料商1</x:v>
      </x:c>
      <x:c r="E395" s="12" t="str">
        <x:v>原料付款</x:v>
      </x:c>
      <x:c r="F395" s="13" t="n">
        <x:v>0</x:v>
      </x:c>
      <x:c r="G395" s="13" t="n">
        <x:v>1571041</x:v>
      </x:c>
      <x:c r="H395" s="13" t="n">
        <x:v>22825979</x:v>
      </x:c>
      <x:c r="I395" s="12" t="str">
        <x:v>CNY</x:v>
      </x:c>
      <x:c r="J395" s="12" t="str">
        <x:v>SYNTHETIC</x:v>
      </x:c>
    </x:row>
    <x:row r="396" ht="38" customHeight="1">
      <x:c r="A396" s="12" t="str">
        <x:v>KS-INJECTION-1000-B0392</x:v>
      </x:c>
      <x:c r="B396" s="14" t="n">
        <x:v>46008</x:v>
      </x:c>
      <x:c r="C396" s="12" t="str">
        <x:v>KS-INJECTION-1000-P-202512-2</x:v>
      </x:c>
      <x:c r="D396" s="12" t="str">
        <x:v>模拟原料商2</x:v>
      </x:c>
      <x:c r="E396" s="12" t="str">
        <x:v>原料付款</x:v>
      </x:c>
      <x:c r="F396" s="13" t="n">
        <x:v>0</x:v>
      </x:c>
      <x:c r="G396" s="13" t="n">
        <x:v>1047361</x:v>
      </x:c>
      <x:c r="H396" s="13" t="n">
        <x:v>21778618</x:v>
      </x:c>
      <x:c r="I396" s="12" t="str">
        <x:v>CNY</x:v>
      </x:c>
      <x:c r="J396" s="12" t="str">
        <x:v>SYNTHETIC</x:v>
      </x:c>
    </x:row>
    <x:row r="397" ht="38" customHeight="1">
      <x:c r="A397" s="12" t="str">
        <x:v>KS-INJECTION-1000-B0393</x:v>
      </x:c>
      <x:c r="B397" s="14" t="n">
        <x:v>46016</x:v>
      </x:c>
      <x:c r="C397" s="12" t="str">
        <x:v>KS-INJECTION-1000-PAY-202512</x:v>
      </x:c>
      <x:c r="D397" s="12" t="str">
        <x:v>模拟工资代发</x:v>
      </x:c>
      <x:c r="E397" s="12" t="str">
        <x:v>工资</x:v>
      </x:c>
      <x:c r="F397" s="13" t="n">
        <x:v>0</x:v>
      </x:c>
      <x:c r="G397" s="13" t="n">
        <x:v>520000</x:v>
      </x:c>
      <x:c r="H397" s="13" t="n">
        <x:v>21258618</x:v>
      </x:c>
      <x:c r="I397" s="12" t="str">
        <x:v>CNY</x:v>
      </x:c>
      <x:c r="J397" s="12" t="str">
        <x:v>SYNTHETIC</x:v>
      </x:c>
    </x:row>
    <x:row r="398" ht="38" customHeight="1">
      <x:c r="A398" s="12" t="str">
        <x:v>KS-INJECTION-1000-B0394</x:v>
      </x:c>
      <x:c r="B398" s="14" t="n">
        <x:v>46016</x:v>
      </x:c>
      <x:c r="C398" s="12" t="str">
        <x:v>KS-INJECTION-1000-ELEC-202512</x:v>
      </x:c>
      <x:c r="D398" s="12" t="str">
        <x:v>模拟供电结算</x:v>
      </x:c>
      <x:c r="E398" s="12" t="str">
        <x:v>电费</x:v>
      </x:c>
      <x:c r="F398" s="13" t="n">
        <x:v>0</x:v>
      </x:c>
      <x:c r="G398" s="13" t="n">
        <x:v>286000</x:v>
      </x:c>
      <x:c r="H398" s="13" t="n">
        <x:v>20972618</x:v>
      </x:c>
      <x:c r="I398" s="12" t="str">
        <x:v>CNY</x:v>
      </x:c>
      <x:c r="J398" s="12" t="str">
        <x:v>SYNTHETIC</x:v>
      </x:c>
    </x:row>
    <x:row r="399" ht="38" customHeight="1">
      <x:c r="A399" s="12" t="str">
        <x:v>KS-INJECTION-1000-B0395</x:v>
      </x:c>
      <x:c r="B399" s="14" t="n">
        <x:v>46016</x:v>
      </x:c>
      <x:c r="C399" s="12" t="str">
        <x:v>KS-INJECTION-1000-OPEX-202512</x:v>
      </x:c>
      <x:c r="D399" s="12" t="str">
        <x:v>模拟费用结算</x:v>
      </x:c>
      <x:c r="E399" s="12" t="str">
        <x:v>管理销售费用</x:v>
      </x:c>
      <x:c r="F399" s="13" t="n">
        <x:v>0</x:v>
      </x:c>
      <x:c r="G399" s="13" t="n">
        <x:v>320000</x:v>
      </x:c>
      <x:c r="H399" s="13" t="n">
        <x:v>20652618</x:v>
      </x:c>
      <x:c r="I399" s="12" t="str">
        <x:v>CNY</x:v>
      </x:c>
      <x:c r="J399" s="12" t="str">
        <x:v>SYNTHETIC</x:v>
      </x:c>
    </x:row>
    <x:row r="400" ht="38" customHeight="1">
      <x:c r="A400" s="12" t="str">
        <x:v>KS-INJECTION-1000-B0396</x:v>
      </x:c>
      <x:c r="B400" s="14" t="n">
        <x:v>46016</x:v>
      </x:c>
      <x:c r="C400" s="12" t="str">
        <x:v>KS-INJECTION-1000-INT-202512</x:v>
      </x:c>
      <x:c r="D400" s="12" t="str">
        <x:v>模拟融资机构</x:v>
      </x:c>
      <x:c r="E400" s="12" t="str">
        <x:v>利息</x:v>
      </x:c>
      <x:c r="F400" s="13" t="n">
        <x:v>0</x:v>
      </x:c>
      <x:c r="G400" s="13" t="n">
        <x:v>25000</x:v>
      </x:c>
      <x:c r="H400" s="13" t="n">
        <x:v>20627618</x:v>
      </x:c>
      <x:c r="I400" s="12" t="str">
        <x:v>CNY</x:v>
      </x:c>
      <x:c r="J400" s="12" t="str">
        <x:v>SYNTHETIC</x:v>
      </x:c>
    </x:row>
    <x:row r="401" ht="38" customHeight="1">
      <x:c r="A401" s="12" t="str">
        <x:v>KS-INJECTION-1000-B0397</x:v>
      </x:c>
      <x:c r="B401" s="14" t="n">
        <x:v>46016</x:v>
      </x:c>
      <x:c r="C401" s="12" t="str">
        <x:v>KS-INJECTION-1000-VAT-202512</x:v>
      </x:c>
      <x:c r="D401" s="12" t="str">
        <x:v>模拟税费账户</x:v>
      </x:c>
      <x:c r="E401" s="12" t="str">
        <x:v>增值税</x:v>
      </x:c>
      <x:c r="F401" s="13" t="n">
        <x:v>0</x:v>
      </x:c>
      <x:c r="G401" s="13" t="n">
        <x:v>399308</x:v>
      </x:c>
      <x:c r="H401" s="13" t="n">
        <x:v>20228310</x:v>
      </x:c>
      <x:c r="I401" s="12" t="str">
        <x:v>CNY</x:v>
      </x:c>
      <x:c r="J401" s="12" t="str">
        <x:v>SYNTHETIC</x:v>
      </x:c>
    </x:row>
    <x:row r="402" ht="38" customHeight="1">
      <x:c r="A402" s="12" t="str">
        <x:v>KS-INJECTION-1000-B0398</x:v>
      </x:c>
      <x:c r="B402" s="14" t="n">
        <x:v>46016</x:v>
      </x:c>
      <x:c r="C402" s="12" t="str">
        <x:v>KS-INJECTION-1000-CIT-202512</x:v>
      </x:c>
      <x:c r="D402" s="12" t="str">
        <x:v>模拟税费账户</x:v>
      </x:c>
      <x:c r="E402" s="12" t="str">
        <x:v>所得税</x:v>
      </x:c>
      <x:c r="F402" s="13" t="n">
        <x:v>0</x:v>
      </x:c>
      <x:c r="G402" s="13" t="n">
        <x:v>435150</x:v>
      </x:c>
      <x:c r="H402" s="13" t="n">
        <x:v>19793160</x:v>
      </x:c>
      <x:c r="I402" s="12" t="str">
        <x:v>CNY</x:v>
      </x:c>
      <x:c r="J402" s="12" t="str">
        <x:v>SYNTHETIC</x:v>
      </x:c>
    </x:row>
    <x:row r="403" ht="38" customHeight="1">
      <x:c r="A403" s="12" t="str">
        <x:v>KS-INJECTION-1000-B0399</x:v>
      </x:c>
      <x:c r="B403" s="14" t="n">
        <x:v>46019</x:v>
      </x:c>
      <x:c r="C403" s="12" t="str">
        <x:v>KS-INJECTION-1000-DIV-2025</x:v>
      </x:c>
      <x:c r="D403" s="12" t="str">
        <x:v>模拟股东</x:v>
      </x:c>
      <x:c r="E403" s="12" t="str">
        <x:v>利润分配（筹资）</x:v>
      </x:c>
      <x:c r="F403" s="13" t="n">
        <x:v>0</x:v>
      </x:c>
      <x:c r="G403" s="13" t="n">
        <x:v>15793160</x:v>
      </x:c>
      <x:c r="H403" s="13" t="n">
        <x:v>4000000</x:v>
      </x:c>
      <x:c r="I403" s="12" t="str">
        <x:v>CNY</x:v>
      </x:c>
      <x:c r="J403" s="12" t="str">
        <x:v>SYNTHETIC</x:v>
      </x:c>
    </x:row>
    <x:row r="404" ht="38" customHeight="1">
      <x:c r="A404" s="12" t="str">
        <x:v>KS-INJECTION-1000-B0400</x:v>
      </x:c>
      <x:c r="B404" s="14" t="n">
        <x:v>46034</x:v>
      </x:c>
      <x:c r="C404" s="12" t="str">
        <x:v>KS-INJECTION-1000-S-202601-1</x:v>
      </x:c>
      <x:c r="D404" s="12" t="str">
        <x:v>模拟下游1</x:v>
      </x:c>
      <x:c r="E404" s="12" t="str">
        <x:v>销售回款</x:v>
      </x:c>
      <x:c r="F404" s="13" t="n">
        <x:v>1609914</x:v>
      </x:c>
      <x:c r="G404" s="13" t="n">
        <x:v>0</x:v>
      </x:c>
      <x:c r="H404" s="13" t="n">
        <x:v>5609914</x:v>
      </x:c>
      <x:c r="I404" s="12" t="str">
        <x:v>CNY</x:v>
      </x:c>
      <x:c r="J404" s="12" t="str">
        <x:v>SYNTHETIC</x:v>
      </x:c>
    </x:row>
    <x:row r="405" ht="38" customHeight="1">
      <x:c r="A405" s="12" t="str">
        <x:v>KS-INJECTION-1000-B0401</x:v>
      </x:c>
      <x:c r="B405" s="14" t="n">
        <x:v>46035</x:v>
      </x:c>
      <x:c r="C405" s="12" t="str">
        <x:v>KS-INJECTION-1000-S-202601-2</x:v>
      </x:c>
      <x:c r="D405" s="12" t="str">
        <x:v>模拟下游2</x:v>
      </x:c>
      <x:c r="E405" s="12" t="str">
        <x:v>销售回款</x:v>
      </x:c>
      <x:c r="F405" s="13" t="n">
        <x:v>1562564</x:v>
      </x:c>
      <x:c r="G405" s="13" t="n">
        <x:v>0</x:v>
      </x:c>
      <x:c r="H405" s="13" t="n">
        <x:v>7172478</x:v>
      </x:c>
      <x:c r="I405" s="12" t="str">
        <x:v>CNY</x:v>
      </x:c>
      <x:c r="J405" s="12" t="str">
        <x:v>SYNTHETIC</x:v>
      </x:c>
    </x:row>
    <x:row r="406" ht="38" customHeight="1">
      <x:c r="A406" s="12" t="str">
        <x:v>KS-INJECTION-1000-B0402</x:v>
      </x:c>
      <x:c r="B406" s="14" t="n">
        <x:v>46036</x:v>
      </x:c>
      <x:c r="C406" s="12" t="str">
        <x:v>KS-INJECTION-1000-S-202601-3</x:v>
      </x:c>
      <x:c r="D406" s="12" t="str">
        <x:v>模拟下游3</x:v>
      </x:c>
      <x:c r="E406" s="12" t="str">
        <x:v>销售回款</x:v>
      </x:c>
      <x:c r="F406" s="13" t="n">
        <x:v>1562564</x:v>
      </x:c>
      <x:c r="G406" s="13" t="n">
        <x:v>0</x:v>
      </x:c>
      <x:c r="H406" s="13" t="n">
        <x:v>8735042</x:v>
      </x:c>
      <x:c r="I406" s="12" t="str">
        <x:v>CNY</x:v>
      </x:c>
      <x:c r="J406" s="12" t="str">
        <x:v>SYNTHETIC</x:v>
      </x:c>
    </x:row>
    <x:row r="407" ht="38" customHeight="1">
      <x:c r="A407" s="12" t="str">
        <x:v>KS-INJECTION-1000-B0403</x:v>
      </x:c>
      <x:c r="B407" s="14" t="n">
        <x:v>46038</x:v>
      </x:c>
      <x:c r="C407" s="12" t="str">
        <x:v>KS-INJECTION-1000-P-202601-1</x:v>
      </x:c>
      <x:c r="D407" s="12" t="str">
        <x:v>模拟原料商1</x:v>
      </x:c>
      <x:c r="E407" s="12" t="str">
        <x:v>原料付款</x:v>
      </x:c>
      <x:c r="F407" s="13" t="n">
        <x:v>0</x:v>
      </x:c>
      <x:c r="G407" s="13" t="n">
        <x:v>1233980</x:v>
      </x:c>
      <x:c r="H407" s="13" t="n">
        <x:v>7501062</x:v>
      </x:c>
      <x:c r="I407" s="12" t="str">
        <x:v>CNY</x:v>
      </x:c>
      <x:c r="J407" s="12" t="str">
        <x:v>SYNTHETIC</x:v>
      </x:c>
    </x:row>
    <x:row r="408" ht="38" customHeight="1">
      <x:c r="A408" s="12" t="str">
        <x:v>KS-INJECTION-1000-B0404</x:v>
      </x:c>
      <x:c r="B408" s="14" t="n">
        <x:v>46039</x:v>
      </x:c>
      <x:c r="C408" s="12" t="str">
        <x:v>KS-INJECTION-1000-P-202601-2</x:v>
      </x:c>
      <x:c r="D408" s="12" t="str">
        <x:v>模拟原料商2</x:v>
      </x:c>
      <x:c r="E408" s="12" t="str">
        <x:v>原料付款</x:v>
      </x:c>
      <x:c r="F408" s="13" t="n">
        <x:v>0</x:v>
      </x:c>
      <x:c r="G408" s="13" t="n">
        <x:v>822654</x:v>
      </x:c>
      <x:c r="H408" s="13" t="n">
        <x:v>6678408</x:v>
      </x:c>
      <x:c r="I408" s="12" t="str">
        <x:v>CNY</x:v>
      </x:c>
      <x:c r="J408" s="12" t="str">
        <x:v>SYNTHETIC</x:v>
      </x:c>
    </x:row>
    <x:row r="409" ht="38" customHeight="1">
      <x:c r="A409" s="12" t="str">
        <x:v>KS-INJECTION-1000-B0405</x:v>
      </x:c>
      <x:c r="B409" s="14" t="n">
        <x:v>46047</x:v>
      </x:c>
      <x:c r="C409" s="12" t="str">
        <x:v>KS-INJECTION-1000-PAY-202601</x:v>
      </x:c>
      <x:c r="D409" s="12" t="str">
        <x:v>模拟工资代发</x:v>
      </x:c>
      <x:c r="E409" s="12" t="str">
        <x:v>工资</x:v>
      </x:c>
      <x:c r="F409" s="13" t="n">
        <x:v>0</x:v>
      </x:c>
      <x:c r="G409" s="13" t="n">
        <x:v>520000</x:v>
      </x:c>
      <x:c r="H409" s="13" t="n">
        <x:v>6158408</x:v>
      </x:c>
      <x:c r="I409" s="12" t="str">
        <x:v>CNY</x:v>
      </x:c>
      <x:c r="J409" s="12" t="str">
        <x:v>SYNTHETIC</x:v>
      </x:c>
    </x:row>
    <x:row r="410" ht="38" customHeight="1">
      <x:c r="A410" s="12" t="str">
        <x:v>KS-INJECTION-1000-B0406</x:v>
      </x:c>
      <x:c r="B410" s="14" t="n">
        <x:v>46047</x:v>
      </x:c>
      <x:c r="C410" s="12" t="str">
        <x:v>KS-INJECTION-1000-ELEC-202601</x:v>
      </x:c>
      <x:c r="D410" s="12" t="str">
        <x:v>模拟供电结算</x:v>
      </x:c>
      <x:c r="E410" s="12" t="str">
        <x:v>电费</x:v>
      </x:c>
      <x:c r="F410" s="13" t="n">
        <x:v>0</x:v>
      </x:c>
      <x:c r="G410" s="13" t="n">
        <x:v>208000</x:v>
      </x:c>
      <x:c r="H410" s="13" t="n">
        <x:v>5950408</x:v>
      </x:c>
      <x:c r="I410" s="12" t="str">
        <x:v>CNY</x:v>
      </x:c>
      <x:c r="J410" s="12" t="str">
        <x:v>SYNTHETIC</x:v>
      </x:c>
    </x:row>
    <x:row r="411" ht="38" customHeight="1">
      <x:c r="A411" s="12" t="str">
        <x:v>KS-INJECTION-1000-B0407</x:v>
      </x:c>
      <x:c r="B411" s="14" t="n">
        <x:v>46047</x:v>
      </x:c>
      <x:c r="C411" s="12" t="str">
        <x:v>KS-INJECTION-1000-OPEX-202601</x:v>
      </x:c>
      <x:c r="D411" s="12" t="str">
        <x:v>模拟费用结算</x:v>
      </x:c>
      <x:c r="E411" s="12" t="str">
        <x:v>管理销售费用</x:v>
      </x:c>
      <x:c r="F411" s="13" t="n">
        <x:v>0</x:v>
      </x:c>
      <x:c r="G411" s="13" t="n">
        <x:v>320000</x:v>
      </x:c>
      <x:c r="H411" s="13" t="n">
        <x:v>5630408</x:v>
      </x:c>
      <x:c r="I411" s="12" t="str">
        <x:v>CNY</x:v>
      </x:c>
      <x:c r="J411" s="12" t="str">
        <x:v>SYNTHETIC</x:v>
      </x:c>
    </x:row>
    <x:row r="412" ht="38" customHeight="1">
      <x:c r="A412" s="12" t="str">
        <x:v>KS-INJECTION-1000-B0408</x:v>
      </x:c>
      <x:c r="B412" s="14" t="n">
        <x:v>46047</x:v>
      </x:c>
      <x:c r="C412" s="12" t="str">
        <x:v>KS-INJECTION-1000-INT-202601</x:v>
      </x:c>
      <x:c r="D412" s="12" t="str">
        <x:v>模拟融资机构</x:v>
      </x:c>
      <x:c r="E412" s="12" t="str">
        <x:v>利息</x:v>
      </x:c>
      <x:c r="F412" s="13" t="n">
        <x:v>0</x:v>
      </x:c>
      <x:c r="G412" s="13" t="n">
        <x:v>25000</x:v>
      </x:c>
      <x:c r="H412" s="13" t="n">
        <x:v>5605408</x:v>
      </x:c>
      <x:c r="I412" s="12" t="str">
        <x:v>CNY</x:v>
      </x:c>
      <x:c r="J412" s="12" t="str">
        <x:v>SYNTHETIC</x:v>
      </x:c>
    </x:row>
    <x:row r="413" ht="38" customHeight="1">
      <x:c r="A413" s="12" t="str">
        <x:v>KS-INJECTION-1000-B0409</x:v>
      </x:c>
      <x:c r="B413" s="14" t="n">
        <x:v>46047</x:v>
      </x:c>
      <x:c r="C413" s="12" t="str">
        <x:v>KS-INJECTION-1000-VAT-202601</x:v>
      </x:c>
      <x:c r="D413" s="12" t="str">
        <x:v>模拟税费账户</x:v>
      </x:c>
      <x:c r="E413" s="12" t="str">
        <x:v>增值税</x:v>
      </x:c>
      <x:c r="F413" s="13" t="n">
        <x:v>0</x:v>
      </x:c>
      <x:c r="G413" s="13" t="n">
        <x:v>313638</x:v>
      </x:c>
      <x:c r="H413" s="13" t="n">
        <x:v>5291770</x:v>
      </x:c>
      <x:c r="I413" s="12" t="str">
        <x:v>CNY</x:v>
      </x:c>
      <x:c r="J413" s="12" t="str">
        <x:v>SYNTHETIC</x:v>
      </x:c>
    </x:row>
    <x:row r="414" ht="38" customHeight="1">
      <x:c r="A414" s="12" t="str">
        <x:v>KS-INJECTION-1000-B0410</x:v>
      </x:c>
      <x:c r="B414" s="14" t="n">
        <x:v>46047</x:v>
      </x:c>
      <x:c r="C414" s="12" t="str">
        <x:v>KS-INJECTION-1000-CIT-202601</x:v>
      </x:c>
      <x:c r="D414" s="12" t="str">
        <x:v>模拟税费账户</x:v>
      </x:c>
      <x:c r="E414" s="12" t="str">
        <x:v>所得税</x:v>
      </x:c>
      <x:c r="F414" s="13" t="n">
        <x:v>0</x:v>
      </x:c>
      <x:c r="G414" s="13" t="n">
        <x:v>289900</x:v>
      </x:c>
      <x:c r="H414" s="13" t="n">
        <x:v>5001870</x:v>
      </x:c>
      <x:c r="I414" s="12" t="str">
        <x:v>CNY</x:v>
      </x:c>
      <x:c r="J414" s="12" t="str">
        <x:v>SYNTHETIC</x:v>
      </x:c>
    </x:row>
    <x:row r="415" ht="38" customHeight="1">
      <x:c r="A415" s="12" t="str">
        <x:v>KS-INJECTION-1000-B0411</x:v>
      </x:c>
      <x:c r="B415" s="14" t="n">
        <x:v>46065</x:v>
      </x:c>
      <x:c r="C415" s="12" t="str">
        <x:v>KS-INJECTION-1000-S-202602-1</x:v>
      </x:c>
      <x:c r="D415" s="12" t="str">
        <x:v>模拟下游1</x:v>
      </x:c>
      <x:c r="E415" s="12" t="str">
        <x:v>销售回款</x:v>
      </x:c>
      <x:c r="F415" s="13" t="n">
        <x:v>1448922</x:v>
      </x:c>
      <x:c r="G415" s="13" t="n">
        <x:v>0</x:v>
      </x:c>
      <x:c r="H415" s="13" t="n">
        <x:v>6450792</x:v>
      </x:c>
      <x:c r="I415" s="12" t="str">
        <x:v>CNY</x:v>
      </x:c>
      <x:c r="J415" s="12" t="str">
        <x:v>SYNTHETIC</x:v>
      </x:c>
    </x:row>
    <x:row r="416" ht="38" customHeight="1">
      <x:c r="A416" s="12" t="str">
        <x:v>KS-INJECTION-1000-B0412</x:v>
      </x:c>
      <x:c r="B416" s="14" t="n">
        <x:v>46066</x:v>
      </x:c>
      <x:c r="C416" s="12" t="str">
        <x:v>KS-INJECTION-1000-S-202602-2</x:v>
      </x:c>
      <x:c r="D416" s="12" t="str">
        <x:v>模拟下游2</x:v>
      </x:c>
      <x:c r="E416" s="12" t="str">
        <x:v>销售回款</x:v>
      </x:c>
      <x:c r="F416" s="13" t="n">
        <x:v>1406307</x:v>
      </x:c>
      <x:c r="G416" s="13" t="n">
        <x:v>0</x:v>
      </x:c>
      <x:c r="H416" s="13" t="n">
        <x:v>7857099</x:v>
      </x:c>
      <x:c r="I416" s="12" t="str">
        <x:v>CNY</x:v>
      </x:c>
      <x:c r="J416" s="12" t="str">
        <x:v>SYNTHETIC</x:v>
      </x:c>
    </x:row>
    <x:row r="417" ht="38" customHeight="1">
      <x:c r="A417" s="12" t="str">
        <x:v>KS-INJECTION-1000-B0413</x:v>
      </x:c>
      <x:c r="B417" s="14" t="n">
        <x:v>46067</x:v>
      </x:c>
      <x:c r="C417" s="12" t="str">
        <x:v>KS-INJECTION-1000-S-202602-3</x:v>
      </x:c>
      <x:c r="D417" s="12" t="str">
        <x:v>模拟下游3</x:v>
      </x:c>
      <x:c r="E417" s="12" t="str">
        <x:v>销售回款</x:v>
      </x:c>
      <x:c r="F417" s="13" t="n">
        <x:v>1406306</x:v>
      </x:c>
      <x:c r="G417" s="13" t="n">
        <x:v>0</x:v>
      </x:c>
      <x:c r="H417" s="13" t="n">
        <x:v>9263405</x:v>
      </x:c>
      <x:c r="I417" s="12" t="str">
        <x:v>CNY</x:v>
      </x:c>
      <x:c r="J417" s="12" t="str">
        <x:v>SYNTHETIC</x:v>
      </x:c>
    </x:row>
    <x:row r="418" ht="38" customHeight="1">
      <x:c r="A418" s="12" t="str">
        <x:v>KS-INJECTION-1000-B0414</x:v>
      </x:c>
      <x:c r="B418" s="14" t="n">
        <x:v>46069</x:v>
      </x:c>
      <x:c r="C418" s="12" t="str">
        <x:v>KS-INJECTION-1000-P-202602-1</x:v>
      </x:c>
      <x:c r="D418" s="12" t="str">
        <x:v>模拟原料商1</x:v>
      </x:c>
      <x:c r="E418" s="12" t="str">
        <x:v>原料付款</x:v>
      </x:c>
      <x:c r="F418" s="13" t="n">
        <x:v>0</x:v>
      </x:c>
      <x:c r="G418" s="13" t="n">
        <x:v>1110582</x:v>
      </x:c>
      <x:c r="H418" s="13" t="n">
        <x:v>8152823</x:v>
      </x:c>
      <x:c r="I418" s="12" t="str">
        <x:v>CNY</x:v>
      </x:c>
      <x:c r="J418" s="12" t="str">
        <x:v>SYNTHETIC</x:v>
      </x:c>
    </x:row>
    <x:row r="419" ht="38" customHeight="1">
      <x:c r="A419" s="12" t="str">
        <x:v>KS-INJECTION-1000-B0415</x:v>
      </x:c>
      <x:c r="B419" s="14" t="n">
        <x:v>46070</x:v>
      </x:c>
      <x:c r="C419" s="12" t="str">
        <x:v>KS-INJECTION-1000-P-202602-2</x:v>
      </x:c>
      <x:c r="D419" s="12" t="str">
        <x:v>模拟原料商2</x:v>
      </x:c>
      <x:c r="E419" s="12" t="str">
        <x:v>原料付款</x:v>
      </x:c>
      <x:c r="F419" s="13" t="n">
        <x:v>0</x:v>
      </x:c>
      <x:c r="G419" s="13" t="n">
        <x:v>740389</x:v>
      </x:c>
      <x:c r="H419" s="13" t="n">
        <x:v>7412434</x:v>
      </x:c>
      <x:c r="I419" s="12" t="str">
        <x:v>CNY</x:v>
      </x:c>
      <x:c r="J419" s="12" t="str">
        <x:v>SYNTHETIC</x:v>
      </x:c>
    </x:row>
    <x:row r="420" ht="38" customHeight="1">
      <x:c r="A420" s="12" t="str">
        <x:v>KS-INJECTION-1000-B0416</x:v>
      </x:c>
      <x:c r="B420" s="14" t="n">
        <x:v>46078</x:v>
      </x:c>
      <x:c r="C420" s="12" t="str">
        <x:v>KS-INJECTION-1000-PAY-202602</x:v>
      </x:c>
      <x:c r="D420" s="12" t="str">
        <x:v>模拟工资代发</x:v>
      </x:c>
      <x:c r="E420" s="12" t="str">
        <x:v>工资</x:v>
      </x:c>
      <x:c r="F420" s="13" t="n">
        <x:v>0</x:v>
      </x:c>
      <x:c r="G420" s="13" t="n">
        <x:v>520000</x:v>
      </x:c>
      <x:c r="H420" s="13" t="n">
        <x:v>6892434</x:v>
      </x:c>
      <x:c r="I420" s="12" t="str">
        <x:v>CNY</x:v>
      </x:c>
      <x:c r="J420" s="12" t="str">
        <x:v>SYNTHETIC</x:v>
      </x:c>
    </x:row>
    <x:row r="421" ht="38" customHeight="1">
      <x:c r="A421" s="12" t="str">
        <x:v>KS-INJECTION-1000-B0417</x:v>
      </x:c>
      <x:c r="B421" s="14" t="n">
        <x:v>46078</x:v>
      </x:c>
      <x:c r="C421" s="12" t="str">
        <x:v>KS-INJECTION-1000-ELEC-202602</x:v>
      </x:c>
      <x:c r="D421" s="12" t="str">
        <x:v>模拟供电结算</x:v>
      </x:c>
      <x:c r="E421" s="12" t="str">
        <x:v>电费</x:v>
      </x:c>
      <x:c r="F421" s="13" t="n">
        <x:v>0</x:v>
      </x:c>
      <x:c r="G421" s="13" t="n">
        <x:v>187200</x:v>
      </x:c>
      <x:c r="H421" s="13" t="n">
        <x:v>6705234</x:v>
      </x:c>
      <x:c r="I421" s="12" t="str">
        <x:v>CNY</x:v>
      </x:c>
      <x:c r="J421" s="12" t="str">
        <x:v>SYNTHETIC</x:v>
      </x:c>
    </x:row>
    <x:row r="422" ht="38" customHeight="1">
      <x:c r="A422" s="12" t="str">
        <x:v>KS-INJECTION-1000-B0418</x:v>
      </x:c>
      <x:c r="B422" s="14" t="n">
        <x:v>46078</x:v>
      </x:c>
      <x:c r="C422" s="12" t="str">
        <x:v>KS-INJECTION-1000-OPEX-202602</x:v>
      </x:c>
      <x:c r="D422" s="12" t="str">
        <x:v>模拟费用结算</x:v>
      </x:c>
      <x:c r="E422" s="12" t="str">
        <x:v>管理销售费用</x:v>
      </x:c>
      <x:c r="F422" s="13" t="n">
        <x:v>0</x:v>
      </x:c>
      <x:c r="G422" s="13" t="n">
        <x:v>320000</x:v>
      </x:c>
      <x:c r="H422" s="13" t="n">
        <x:v>6385234</x:v>
      </x:c>
      <x:c r="I422" s="12" t="str">
        <x:v>CNY</x:v>
      </x:c>
      <x:c r="J422" s="12" t="str">
        <x:v>SYNTHETIC</x:v>
      </x:c>
    </x:row>
    <x:row r="423" ht="38" customHeight="1">
      <x:c r="A423" s="12" t="str">
        <x:v>KS-INJECTION-1000-B0419</x:v>
      </x:c>
      <x:c r="B423" s="14" t="n">
        <x:v>46078</x:v>
      </x:c>
      <x:c r="C423" s="12" t="str">
        <x:v>KS-INJECTION-1000-INT-202602</x:v>
      </x:c>
      <x:c r="D423" s="12" t="str">
        <x:v>模拟融资机构</x:v>
      </x:c>
      <x:c r="E423" s="12" t="str">
        <x:v>利息</x:v>
      </x:c>
      <x:c r="F423" s="13" t="n">
        <x:v>0</x:v>
      </x:c>
      <x:c r="G423" s="13" t="n">
        <x:v>25000</x:v>
      </x:c>
      <x:c r="H423" s="13" t="n">
        <x:v>6360234</x:v>
      </x:c>
      <x:c r="I423" s="12" t="str">
        <x:v>CNY</x:v>
      </x:c>
      <x:c r="J423" s="12" t="str">
        <x:v>SYNTHETIC</x:v>
      </x:c>
    </x:row>
    <x:row r="424" ht="38" customHeight="1">
      <x:c r="A424" s="12" t="str">
        <x:v>KS-INJECTION-1000-B0420</x:v>
      </x:c>
      <x:c r="B424" s="14" t="n">
        <x:v>46078</x:v>
      </x:c>
      <x:c r="C424" s="12" t="str">
        <x:v>KS-INJECTION-1000-VAT-202602</x:v>
      </x:c>
      <x:c r="D424" s="12" t="str">
        <x:v>模拟税费账户</x:v>
      </x:c>
      <x:c r="E424" s="12" t="str">
        <x:v>增值税</x:v>
      </x:c>
      <x:c r="F424" s="13" t="n">
        <x:v>0</x:v>
      </x:c>
      <x:c r="G424" s="13" t="n">
        <x:v>282273</x:v>
      </x:c>
      <x:c r="H424" s="13" t="n">
        <x:v>6077961</x:v>
      </x:c>
      <x:c r="I424" s="12" t="str">
        <x:v>CNY</x:v>
      </x:c>
      <x:c r="J424" s="12" t="str">
        <x:v>SYNTHETIC</x:v>
      </x:c>
    </x:row>
    <x:row r="425" ht="38" customHeight="1">
      <x:c r="A425" s="12" t="str">
        <x:v>KS-INJECTION-1000-B0421</x:v>
      </x:c>
      <x:c r="B425" s="14" t="n">
        <x:v>46078</x:v>
      </x:c>
      <x:c r="C425" s="12" t="str">
        <x:v>KS-INJECTION-1000-CIT-202602</x:v>
      </x:c>
      <x:c r="D425" s="12" t="str">
        <x:v>模拟税费账户</x:v>
      </x:c>
      <x:c r="E425" s="12" t="str">
        <x:v>所得税</x:v>
      </x:c>
      <x:c r="F425" s="13" t="n">
        <x:v>0</x:v>
      </x:c>
      <x:c r="G425" s="13" t="n">
        <x:v>234784</x:v>
      </x:c>
      <x:c r="H425" s="13" t="n">
        <x:v>5843177</x:v>
      </x:c>
      <x:c r="I425" s="12" t="str">
        <x:v>CNY</x:v>
      </x:c>
      <x:c r="J425" s="12" t="str">
        <x:v>SYNTHETIC</x:v>
      </x:c>
    </x:row>
    <x:row r="426" ht="38" customHeight="1">
      <x:c r="A426" s="12" t="str">
        <x:v>KS-INJECTION-1000-B0422</x:v>
      </x:c>
      <x:c r="B426" s="14" t="n">
        <x:v>46093</x:v>
      </x:c>
      <x:c r="C426" s="12" t="str">
        <x:v>KS-INJECTION-1000-S-202603-1</x:v>
      </x:c>
      <x:c r="D426" s="12" t="str">
        <x:v>模拟下游1</x:v>
      </x:c>
      <x:c r="E426" s="12" t="str">
        <x:v>销售回款</x:v>
      </x:c>
      <x:c r="F426" s="13" t="n">
        <x:v>2052641</x:v>
      </x:c>
      <x:c r="G426" s="13" t="n">
        <x:v>0</x:v>
      </x:c>
      <x:c r="H426" s="13" t="n">
        <x:v>7895818</x:v>
      </x:c>
      <x:c r="I426" s="12" t="str">
        <x:v>CNY</x:v>
      </x:c>
      <x:c r="J426" s="12" t="str">
        <x:v>SYNTHETIC</x:v>
      </x:c>
    </x:row>
    <x:row r="427" ht="38" customHeight="1">
      <x:c r="A427" s="12" t="str">
        <x:v>KS-INJECTION-1000-B0423</x:v>
      </x:c>
      <x:c r="B427" s="14" t="n">
        <x:v>46094</x:v>
      </x:c>
      <x:c r="C427" s="12" t="str">
        <x:v>KS-INJECTION-1000-S-202603-2</x:v>
      </x:c>
      <x:c r="D427" s="12" t="str">
        <x:v>模拟下游2</x:v>
      </x:c>
      <x:c r="E427" s="12" t="str">
        <x:v>销售回款</x:v>
      </x:c>
      <x:c r="F427" s="13" t="n">
        <x:v>1992269</x:v>
      </x:c>
      <x:c r="G427" s="13" t="n">
        <x:v>0</x:v>
      </x:c>
      <x:c r="H427" s="13" t="n">
        <x:v>9888087</x:v>
      </x:c>
      <x:c r="I427" s="12" t="str">
        <x:v>CNY</x:v>
      </x:c>
      <x:c r="J427" s="12" t="str">
        <x:v>SYNTHETIC</x:v>
      </x:c>
    </x:row>
    <x:row r="428" ht="38" customHeight="1">
      <x:c r="A428" s="12" t="str">
        <x:v>KS-INJECTION-1000-B0424</x:v>
      </x:c>
      <x:c r="B428" s="14" t="n">
        <x:v>46095</x:v>
      </x:c>
      <x:c r="C428" s="12" t="str">
        <x:v>KS-INJECTION-1000-S-202603-3</x:v>
      </x:c>
      <x:c r="D428" s="12" t="str">
        <x:v>模拟下游3</x:v>
      </x:c>
      <x:c r="E428" s="12" t="str">
        <x:v>销售回款</x:v>
      </x:c>
      <x:c r="F428" s="13" t="n">
        <x:v>1992271</x:v>
      </x:c>
      <x:c r="G428" s="13" t="n">
        <x:v>0</x:v>
      </x:c>
      <x:c r="H428" s="13" t="n">
        <x:v>11880358</x:v>
      </x:c>
      <x:c r="I428" s="12" t="str">
        <x:v>CNY</x:v>
      </x:c>
      <x:c r="J428" s="12" t="str">
        <x:v>SYNTHETIC</x:v>
      </x:c>
    </x:row>
    <x:row r="429" ht="38" customHeight="1">
      <x:c r="A429" s="12" t="str">
        <x:v>KS-INJECTION-1000-B0425</x:v>
      </x:c>
      <x:c r="B429" s="14" t="n">
        <x:v>46097</x:v>
      </x:c>
      <x:c r="C429" s="12" t="str">
        <x:v>KS-INJECTION-1000-P-202603-1</x:v>
      </x:c>
      <x:c r="D429" s="12" t="str">
        <x:v>模拟原料商1</x:v>
      </x:c>
      <x:c r="E429" s="12" t="str">
        <x:v>原料付款</x:v>
      </x:c>
      <x:c r="F429" s="13" t="n">
        <x:v>0</x:v>
      </x:c>
      <x:c r="G429" s="13" t="n">
        <x:v>1573326</x:v>
      </x:c>
      <x:c r="H429" s="13" t="n">
        <x:v>10307032</x:v>
      </x:c>
      <x:c r="I429" s="12" t="str">
        <x:v>CNY</x:v>
      </x:c>
      <x:c r="J429" s="12" t="str">
        <x:v>SYNTHETIC</x:v>
      </x:c>
    </x:row>
    <x:row r="430" ht="38" customHeight="1">
      <x:c r="A430" s="12" t="str">
        <x:v>KS-INJECTION-1000-B0426</x:v>
      </x:c>
      <x:c r="B430" s="14" t="n">
        <x:v>46098</x:v>
      </x:c>
      <x:c r="C430" s="12" t="str">
        <x:v>KS-INJECTION-1000-P-202603-2</x:v>
      </x:c>
      <x:c r="D430" s="12" t="str">
        <x:v>模拟原料商2</x:v>
      </x:c>
      <x:c r="E430" s="12" t="str">
        <x:v>原料付款</x:v>
      </x:c>
      <x:c r="F430" s="13" t="n">
        <x:v>0</x:v>
      </x:c>
      <x:c r="G430" s="13" t="n">
        <x:v>1048884</x:v>
      </x:c>
      <x:c r="H430" s="13" t="n">
        <x:v>9258148</x:v>
      </x:c>
      <x:c r="I430" s="12" t="str">
        <x:v>CNY</x:v>
      </x:c>
      <x:c r="J430" s="12" t="str">
        <x:v>SYNTHETIC</x:v>
      </x:c>
    </x:row>
    <x:row r="431" ht="38" customHeight="1">
      <x:c r="A431" s="12" t="str">
        <x:v>KS-INJECTION-1000-B0427</x:v>
      </x:c>
      <x:c r="B431" s="14" t="n">
        <x:v>46106</x:v>
      </x:c>
      <x:c r="C431" s="12" t="str">
        <x:v>KS-INJECTION-1000-PAY-202603</x:v>
      </x:c>
      <x:c r="D431" s="12" t="str">
        <x:v>模拟工资代发</x:v>
      </x:c>
      <x:c r="E431" s="12" t="str">
        <x:v>工资</x:v>
      </x:c>
      <x:c r="F431" s="13" t="n">
        <x:v>0</x:v>
      </x:c>
      <x:c r="G431" s="13" t="n">
        <x:v>520000</x:v>
      </x:c>
      <x:c r="H431" s="13" t="n">
        <x:v>8738148</x:v>
      </x:c>
      <x:c r="I431" s="12" t="str">
        <x:v>CNY</x:v>
      </x:c>
      <x:c r="J431" s="12" t="str">
        <x:v>SYNTHETIC</x:v>
      </x:c>
    </x:row>
    <x:row r="432" ht="38" customHeight="1">
      <x:c r="A432" s="12" t="str">
        <x:v>KS-INJECTION-1000-B0428</x:v>
      </x:c>
      <x:c r="B432" s="14" t="n">
        <x:v>46106</x:v>
      </x:c>
      <x:c r="C432" s="12" t="str">
        <x:v>KS-INJECTION-1000-ELEC-202603</x:v>
      </x:c>
      <x:c r="D432" s="12" t="str">
        <x:v>模拟供电结算</x:v>
      </x:c>
      <x:c r="E432" s="12" t="str">
        <x:v>电费</x:v>
      </x:c>
      <x:c r="F432" s="13" t="n">
        <x:v>0</x:v>
      </x:c>
      <x:c r="G432" s="13" t="n">
        <x:v>265200</x:v>
      </x:c>
      <x:c r="H432" s="13" t="n">
        <x:v>8472948</x:v>
      </x:c>
      <x:c r="I432" s="12" t="str">
        <x:v>CNY</x:v>
      </x:c>
      <x:c r="J432" s="12" t="str">
        <x:v>SYNTHETIC</x:v>
      </x:c>
    </x:row>
    <x:row r="433" ht="38" customHeight="1">
      <x:c r="A433" s="12" t="str">
        <x:v>KS-INJECTION-1000-B0429</x:v>
      </x:c>
      <x:c r="B433" s="14" t="n">
        <x:v>46106</x:v>
      </x:c>
      <x:c r="C433" s="12" t="str">
        <x:v>KS-INJECTION-1000-OPEX-202603</x:v>
      </x:c>
      <x:c r="D433" s="12" t="str">
        <x:v>模拟费用结算</x:v>
      </x:c>
      <x:c r="E433" s="12" t="str">
        <x:v>管理销售费用</x:v>
      </x:c>
      <x:c r="F433" s="13" t="n">
        <x:v>0</x:v>
      </x:c>
      <x:c r="G433" s="13" t="n">
        <x:v>320000</x:v>
      </x:c>
      <x:c r="H433" s="13" t="n">
        <x:v>8152948</x:v>
      </x:c>
      <x:c r="I433" s="12" t="str">
        <x:v>CNY</x:v>
      </x:c>
      <x:c r="J433" s="12" t="str">
        <x:v>SYNTHETIC</x:v>
      </x:c>
    </x:row>
    <x:row r="434" ht="38" customHeight="1">
      <x:c r="A434" s="12" t="str">
        <x:v>KS-INJECTION-1000-B0430</x:v>
      </x:c>
      <x:c r="B434" s="14" t="n">
        <x:v>46106</x:v>
      </x:c>
      <x:c r="C434" s="12" t="str">
        <x:v>KS-INJECTION-1000-INT-202603</x:v>
      </x:c>
      <x:c r="D434" s="12" t="str">
        <x:v>模拟融资机构</x:v>
      </x:c>
      <x:c r="E434" s="12" t="str">
        <x:v>利息</x:v>
      </x:c>
      <x:c r="F434" s="13" t="n">
        <x:v>0</x:v>
      </x:c>
      <x:c r="G434" s="13" t="n">
        <x:v>25000</x:v>
      </x:c>
      <x:c r="H434" s="13" t="n">
        <x:v>8127948</x:v>
      </x:c>
      <x:c r="I434" s="12" t="str">
        <x:v>CNY</x:v>
      </x:c>
      <x:c r="J434" s="12" t="str">
        <x:v>SYNTHETIC</x:v>
      </x:c>
    </x:row>
    <x:row r="435" ht="38" customHeight="1">
      <x:c r="A435" s="12" t="str">
        <x:v>KS-INJECTION-1000-B0431</x:v>
      </x:c>
      <x:c r="B435" s="14" t="n">
        <x:v>46106</x:v>
      </x:c>
      <x:c r="C435" s="12" t="str">
        <x:v>KS-INJECTION-1000-VAT-202603</x:v>
      </x:c>
      <x:c r="D435" s="12" t="str">
        <x:v>模拟税费账户</x:v>
      </x:c>
      <x:c r="E435" s="12" t="str">
        <x:v>增值税</x:v>
      </x:c>
      <x:c r="F435" s="13" t="n">
        <x:v>0</x:v>
      </x:c>
      <x:c r="G435" s="13" t="n">
        <x:v>399889</x:v>
      </x:c>
      <x:c r="H435" s="13" t="n">
        <x:v>7728059</x:v>
      </x:c>
      <x:c r="I435" s="12" t="str">
        <x:v>CNY</x:v>
      </x:c>
      <x:c r="J435" s="12" t="str">
        <x:v>SYNTHETIC</x:v>
      </x:c>
    </x:row>
    <x:row r="436" ht="38" customHeight="1">
      <x:c r="A436" s="12" t="str">
        <x:v>KS-INJECTION-1000-B0432</x:v>
      </x:c>
      <x:c r="B436" s="14" t="n">
        <x:v>46106</x:v>
      </x:c>
      <x:c r="C436" s="12" t="str">
        <x:v>KS-INJECTION-1000-CIT-202603</x:v>
      </x:c>
      <x:c r="D436" s="12" t="str">
        <x:v>模拟税费账户</x:v>
      </x:c>
      <x:c r="E436" s="12" t="str">
        <x:v>所得税</x:v>
      </x:c>
      <x:c r="F436" s="13" t="n">
        <x:v>0</x:v>
      </x:c>
      <x:c r="G436" s="13" t="n">
        <x:v>441466</x:v>
      </x:c>
      <x:c r="H436" s="13" t="n">
        <x:v>7286593</x:v>
      </x:c>
      <x:c r="I436" s="12" t="str">
        <x:v>CNY</x:v>
      </x:c>
      <x:c r="J436" s="12" t="str">
        <x:v>SYNTHETIC</x:v>
      </x:c>
    </x:row>
    <x:row r="437" ht="38" customHeight="1">
      <x:c r="A437" s="12" t="str">
        <x:v>KS-INJECTION-1000-B0433</x:v>
      </x:c>
      <x:c r="B437" s="14" t="n">
        <x:v>46124</x:v>
      </x:c>
      <x:c r="C437" s="12" t="str">
        <x:v>KS-INJECTION-1000-S-202604-1</x:v>
      </x:c>
      <x:c r="D437" s="12" t="str">
        <x:v>模拟下游1</x:v>
      </x:c>
      <x:c r="E437" s="12" t="str">
        <x:v>销售回款</x:v>
      </x:c>
      <x:c r="F437" s="13" t="n">
        <x:v>2133137</x:v>
      </x:c>
      <x:c r="G437" s="13" t="n">
        <x:v>0</x:v>
      </x:c>
      <x:c r="H437" s="13" t="n">
        <x:v>9419730</x:v>
      </x:c>
      <x:c r="I437" s="12" t="str">
        <x:v>CNY</x:v>
      </x:c>
      <x:c r="J437" s="12" t="str">
        <x:v>SYNTHETIC</x:v>
      </x:c>
    </x:row>
    <x:row r="438" ht="38" customHeight="1">
      <x:c r="A438" s="12" t="str">
        <x:v>KS-INJECTION-1000-B0434</x:v>
      </x:c>
      <x:c r="B438" s="14" t="n">
        <x:v>46125</x:v>
      </x:c>
      <x:c r="C438" s="12" t="str">
        <x:v>KS-INJECTION-1000-S-202604-2</x:v>
      </x:c>
      <x:c r="D438" s="12" t="str">
        <x:v>模拟下游2</x:v>
      </x:c>
      <x:c r="E438" s="12" t="str">
        <x:v>销售回款</x:v>
      </x:c>
      <x:c r="F438" s="13" t="n">
        <x:v>2070398</x:v>
      </x:c>
      <x:c r="G438" s="13" t="n">
        <x:v>0</x:v>
      </x:c>
      <x:c r="H438" s="13" t="n">
        <x:v>11490128</x:v>
      </x:c>
      <x:c r="I438" s="12" t="str">
        <x:v>CNY</x:v>
      </x:c>
      <x:c r="J438" s="12" t="str">
        <x:v>SYNTHETIC</x:v>
      </x:c>
    </x:row>
    <x:row r="439" ht="38" customHeight="1">
      <x:c r="A439" s="12" t="str">
        <x:v>KS-INJECTION-1000-B0435</x:v>
      </x:c>
      <x:c r="B439" s="14" t="n">
        <x:v>46126</x:v>
      </x:c>
      <x:c r="C439" s="12" t="str">
        <x:v>KS-INJECTION-1000-S-202604-3</x:v>
      </x:c>
      <x:c r="D439" s="12" t="str">
        <x:v>模拟下游3</x:v>
      </x:c>
      <x:c r="E439" s="12" t="str">
        <x:v>销售回款</x:v>
      </x:c>
      <x:c r="F439" s="13" t="n">
        <x:v>2070399</x:v>
      </x:c>
      <x:c r="G439" s="13" t="n">
        <x:v>0</x:v>
      </x:c>
      <x:c r="H439" s="13" t="n">
        <x:v>13560527</x:v>
      </x:c>
      <x:c r="I439" s="12" t="str">
        <x:v>CNY</x:v>
      </x:c>
      <x:c r="J439" s="12" t="str">
        <x:v>SYNTHETIC</x:v>
      </x:c>
    </x:row>
    <x:row r="440" ht="38" customHeight="1">
      <x:c r="A440" s="12" t="str">
        <x:v>KS-INJECTION-1000-B0436</x:v>
      </x:c>
      <x:c r="B440" s="14" t="n">
        <x:v>46128</x:v>
      </x:c>
      <x:c r="C440" s="12" t="str">
        <x:v>KS-INJECTION-1000-P-202604-1</x:v>
      </x:c>
      <x:c r="D440" s="12" t="str">
        <x:v>模拟原料商1</x:v>
      </x:c>
      <x:c r="E440" s="12" t="str">
        <x:v>原料付款</x:v>
      </x:c>
      <x:c r="F440" s="13" t="n">
        <x:v>0</x:v>
      </x:c>
      <x:c r="G440" s="13" t="n">
        <x:v>1635025</x:v>
      </x:c>
      <x:c r="H440" s="13" t="n">
        <x:v>11925502</x:v>
      </x:c>
      <x:c r="I440" s="12" t="str">
        <x:v>CNY</x:v>
      </x:c>
      <x:c r="J440" s="12" t="str">
        <x:v>SYNTHETIC</x:v>
      </x:c>
    </x:row>
    <x:row r="441" ht="38" customHeight="1">
      <x:c r="A441" s="12" t="str">
        <x:v>KS-INJECTION-1000-B0437</x:v>
      </x:c>
      <x:c r="B441" s="14" t="n">
        <x:v>46129</x:v>
      </x:c>
      <x:c r="C441" s="12" t="str">
        <x:v>KS-INJECTION-1000-P-202604-2</x:v>
      </x:c>
      <x:c r="D441" s="12" t="str">
        <x:v>模拟原料商2</x:v>
      </x:c>
      <x:c r="E441" s="12" t="str">
        <x:v>原料付款</x:v>
      </x:c>
      <x:c r="F441" s="13" t="n">
        <x:v>0</x:v>
      </x:c>
      <x:c r="G441" s="13" t="n">
        <x:v>1090016</x:v>
      </x:c>
      <x:c r="H441" s="13" t="n">
        <x:v>10835486</x:v>
      </x:c>
      <x:c r="I441" s="12" t="str">
        <x:v>CNY</x:v>
      </x:c>
      <x:c r="J441" s="12" t="str">
        <x:v>SYNTHETIC</x:v>
      </x:c>
    </x:row>
    <x:row r="442" ht="38" customHeight="1">
      <x:c r="A442" s="12" t="str">
        <x:v>KS-INJECTION-1000-B0438</x:v>
      </x:c>
      <x:c r="B442" s="14" t="n">
        <x:v>46137</x:v>
      </x:c>
      <x:c r="C442" s="12" t="str">
        <x:v>KS-INJECTION-1000-PAY-202604</x:v>
      </x:c>
      <x:c r="D442" s="12" t="str">
        <x:v>模拟工资代发</x:v>
      </x:c>
      <x:c r="E442" s="12" t="str">
        <x:v>工资</x:v>
      </x:c>
      <x:c r="F442" s="13" t="n">
        <x:v>0</x:v>
      </x:c>
      <x:c r="G442" s="13" t="n">
        <x:v>520000</x:v>
      </x:c>
      <x:c r="H442" s="13" t="n">
        <x:v>10315486</x:v>
      </x:c>
      <x:c r="I442" s="12" t="str">
        <x:v>CNY</x:v>
      </x:c>
      <x:c r="J442" s="12" t="str">
        <x:v>SYNTHETIC</x:v>
      </x:c>
    </x:row>
    <x:row r="443" ht="38" customHeight="1">
      <x:c r="A443" s="12" t="str">
        <x:v>KS-INJECTION-1000-B0439</x:v>
      </x:c>
      <x:c r="B443" s="14" t="n">
        <x:v>46137</x:v>
      </x:c>
      <x:c r="C443" s="12" t="str">
        <x:v>KS-INJECTION-1000-ELEC-202604</x:v>
      </x:c>
      <x:c r="D443" s="12" t="str">
        <x:v>模拟供电结算</x:v>
      </x:c>
      <x:c r="E443" s="12" t="str">
        <x:v>电费</x:v>
      </x:c>
      <x:c r="F443" s="13" t="n">
        <x:v>0</x:v>
      </x:c>
      <x:c r="G443" s="13" t="n">
        <x:v>275600</x:v>
      </x:c>
      <x:c r="H443" s="13" t="n">
        <x:v>10039886</x:v>
      </x:c>
      <x:c r="I443" s="12" t="str">
        <x:v>CNY</x:v>
      </x:c>
      <x:c r="J443" s="12" t="str">
        <x:v>SYNTHETIC</x:v>
      </x:c>
    </x:row>
    <x:row r="444" ht="38" customHeight="1">
      <x:c r="A444" s="12" t="str">
        <x:v>KS-INJECTION-1000-B0440</x:v>
      </x:c>
      <x:c r="B444" s="14" t="n">
        <x:v>46137</x:v>
      </x:c>
      <x:c r="C444" s="12" t="str">
        <x:v>KS-INJECTION-1000-OPEX-202604</x:v>
      </x:c>
      <x:c r="D444" s="12" t="str">
        <x:v>模拟费用结算</x:v>
      </x:c>
      <x:c r="E444" s="12" t="str">
        <x:v>管理销售费用</x:v>
      </x:c>
      <x:c r="F444" s="13" t="n">
        <x:v>0</x:v>
      </x:c>
      <x:c r="G444" s="13" t="n">
        <x:v>320000</x:v>
      </x:c>
      <x:c r="H444" s="13" t="n">
        <x:v>9719886</x:v>
      </x:c>
      <x:c r="I444" s="12" t="str">
        <x:v>CNY</x:v>
      </x:c>
      <x:c r="J444" s="12" t="str">
        <x:v>SYNTHETIC</x:v>
      </x:c>
    </x:row>
    <x:row r="445" ht="38" customHeight="1">
      <x:c r="A445" s="12" t="str">
        <x:v>KS-INJECTION-1000-B0441</x:v>
      </x:c>
      <x:c r="B445" s="14" t="n">
        <x:v>46137</x:v>
      </x:c>
      <x:c r="C445" s="12" t="str">
        <x:v>KS-INJECTION-1000-INT-202604</x:v>
      </x:c>
      <x:c r="D445" s="12" t="str">
        <x:v>模拟融资机构</x:v>
      </x:c>
      <x:c r="E445" s="12" t="str">
        <x:v>利息</x:v>
      </x:c>
      <x:c r="F445" s="13" t="n">
        <x:v>0</x:v>
      </x:c>
      <x:c r="G445" s="13" t="n">
        <x:v>25000</x:v>
      </x:c>
      <x:c r="H445" s="13" t="n">
        <x:v>9694886</x:v>
      </x:c>
      <x:c r="I445" s="12" t="str">
        <x:v>CNY</x:v>
      </x:c>
      <x:c r="J445" s="12" t="str">
        <x:v>SYNTHETIC</x:v>
      </x:c>
    </x:row>
    <x:row r="446" ht="38" customHeight="1">
      <x:c r="A446" s="12" t="str">
        <x:v>KS-INJECTION-1000-B0442</x:v>
      </x:c>
      <x:c r="B446" s="14" t="n">
        <x:v>46137</x:v>
      </x:c>
      <x:c r="C446" s="12" t="str">
        <x:v>KS-INJECTION-1000-VAT-202604</x:v>
      </x:c>
      <x:c r="D446" s="12" t="str">
        <x:v>模拟税费账户</x:v>
      </x:c>
      <x:c r="E446" s="12" t="str">
        <x:v>增值税</x:v>
      </x:c>
      <x:c r="F446" s="13" t="n">
        <x:v>0</x:v>
      </x:c>
      <x:c r="G446" s="13" t="n">
        <x:v>415571</x:v>
      </x:c>
      <x:c r="H446" s="13" t="n">
        <x:v>9279315</x:v>
      </x:c>
      <x:c r="I446" s="12" t="str">
        <x:v>CNY</x:v>
      </x:c>
      <x:c r="J446" s="12" t="str">
        <x:v>SYNTHETIC</x:v>
      </x:c>
    </x:row>
    <x:row r="447" ht="38" customHeight="1">
      <x:c r="A447" s="12" t="str">
        <x:v>KS-INJECTION-1000-B0443</x:v>
      </x:c>
      <x:c r="B447" s="14" t="n">
        <x:v>46137</x:v>
      </x:c>
      <x:c r="C447" s="12" t="str">
        <x:v>KS-INJECTION-1000-CIT-202604</x:v>
      </x:c>
      <x:c r="D447" s="12" t="str">
        <x:v>模拟税费账户</x:v>
      </x:c>
      <x:c r="E447" s="12" t="str">
        <x:v>所得税</x:v>
      </x:c>
      <x:c r="F447" s="13" t="n">
        <x:v>0</x:v>
      </x:c>
      <x:c r="G447" s="13" t="n">
        <x:v>469024</x:v>
      </x:c>
      <x:c r="H447" s="13" t="n">
        <x:v>8810291</x:v>
      </x:c>
      <x:c r="I447" s="12" t="str">
        <x:v>CNY</x:v>
      </x:c>
      <x:c r="J447" s="12" t="str">
        <x:v>SYNTHETIC</x:v>
      </x:c>
    </x:row>
    <x:row r="448" ht="38" customHeight="1">
      <x:c r="A448" s="12" t="str">
        <x:v>KS-INJECTION-1000-B0444</x:v>
      </x:c>
      <x:c r="B448" s="14" t="n">
        <x:v>46154</x:v>
      </x:c>
      <x:c r="C448" s="12" t="str">
        <x:v>KS-INJECTION-1000-S-202605-1</x:v>
      </x:c>
      <x:c r="D448" s="12" t="str">
        <x:v>模拟下游1</x:v>
      </x:c>
      <x:c r="E448" s="12" t="str">
        <x:v>销售回款</x:v>
      </x:c>
      <x:c r="F448" s="13" t="n">
        <x:v>2213633</x:v>
      </x:c>
      <x:c r="G448" s="13" t="n">
        <x:v>0</x:v>
      </x:c>
      <x:c r="H448" s="13" t="n">
        <x:v>11023924</x:v>
      </x:c>
      <x:c r="I448" s="12" t="str">
        <x:v>CNY</x:v>
      </x:c>
      <x:c r="J448" s="12" t="str">
        <x:v>SYNTHETIC</x:v>
      </x:c>
    </x:row>
    <x:row r="449" ht="38" customHeight="1">
      <x:c r="A449" s="12" t="str">
        <x:v>KS-INJECTION-1000-B0445</x:v>
      </x:c>
      <x:c r="B449" s="14" t="n">
        <x:v>46155</x:v>
      </x:c>
      <x:c r="C449" s="12" t="str">
        <x:v>KS-INJECTION-1000-S-202605-2</x:v>
      </x:c>
      <x:c r="D449" s="12" t="str">
        <x:v>模拟下游2</x:v>
      </x:c>
      <x:c r="E449" s="12" t="str">
        <x:v>销售回款</x:v>
      </x:c>
      <x:c r="F449" s="13" t="n">
        <x:v>2148526</x:v>
      </x:c>
      <x:c r="G449" s="13" t="n">
        <x:v>0</x:v>
      </x:c>
      <x:c r="H449" s="13" t="n">
        <x:v>13172450</x:v>
      </x:c>
      <x:c r="I449" s="12" t="str">
        <x:v>CNY</x:v>
      </x:c>
      <x:c r="J449" s="12" t="str">
        <x:v>SYNTHETIC</x:v>
      </x:c>
    </x:row>
    <x:row r="450" ht="38" customHeight="1">
      <x:c r="A450" s="12" t="str">
        <x:v>KS-INJECTION-1000-B0446</x:v>
      </x:c>
      <x:c r="B450" s="14" t="n">
        <x:v>46156</x:v>
      </x:c>
      <x:c r="C450" s="12" t="str">
        <x:v>KS-INJECTION-1000-S-202605-3</x:v>
      </x:c>
      <x:c r="D450" s="12" t="str">
        <x:v>模拟下游3</x:v>
      </x:c>
      <x:c r="E450" s="12" t="str">
        <x:v>销售回款</x:v>
      </x:c>
      <x:c r="F450" s="13" t="n">
        <x:v>2148528</x:v>
      </x:c>
      <x:c r="G450" s="13" t="n">
        <x:v>0</x:v>
      </x:c>
      <x:c r="H450" s="13" t="n">
        <x:v>15320978</x:v>
      </x:c>
      <x:c r="I450" s="12" t="str">
        <x:v>CNY</x:v>
      </x:c>
      <x:c r="J450" s="12" t="str">
        <x:v>SYNTHETIC</x:v>
      </x:c>
    </x:row>
    <x:row r="451" ht="38" customHeight="1">
      <x:c r="A451" s="12" t="str">
        <x:v>KS-INJECTION-1000-B0447</x:v>
      </x:c>
      <x:c r="B451" s="14" t="n">
        <x:v>46158</x:v>
      </x:c>
      <x:c r="C451" s="12" t="str">
        <x:v>KS-INJECTION-1000-P-202605-1</x:v>
      </x:c>
      <x:c r="D451" s="12" t="str">
        <x:v>模拟原料商1</x:v>
      </x:c>
      <x:c r="E451" s="12" t="str">
        <x:v>原料付款</x:v>
      </x:c>
      <x:c r="F451" s="13" t="n">
        <x:v>0</x:v>
      </x:c>
      <x:c r="G451" s="13" t="n">
        <x:v>1696725</x:v>
      </x:c>
      <x:c r="H451" s="13" t="n">
        <x:v>13624253</x:v>
      </x:c>
      <x:c r="I451" s="12" t="str">
        <x:v>CNY</x:v>
      </x:c>
      <x:c r="J451" s="12" t="str">
        <x:v>SYNTHETIC</x:v>
      </x:c>
    </x:row>
    <x:row r="452" ht="38" customHeight="1">
      <x:c r="A452" s="12" t="str">
        <x:v>KS-INJECTION-1000-B0448</x:v>
      </x:c>
      <x:c r="B452" s="14" t="n">
        <x:v>46159</x:v>
      </x:c>
      <x:c r="C452" s="12" t="str">
        <x:v>KS-INJECTION-1000-P-202605-2</x:v>
      </x:c>
      <x:c r="D452" s="12" t="str">
        <x:v>模拟原料商2</x:v>
      </x:c>
      <x:c r="E452" s="12" t="str">
        <x:v>原料付款</x:v>
      </x:c>
      <x:c r="F452" s="13" t="n">
        <x:v>0</x:v>
      </x:c>
      <x:c r="G452" s="13" t="n">
        <x:v>1131149</x:v>
      </x:c>
      <x:c r="H452" s="13" t="n">
        <x:v>12493104</x:v>
      </x:c>
      <x:c r="I452" s="12" t="str">
        <x:v>CNY</x:v>
      </x:c>
      <x:c r="J452" s="12" t="str">
        <x:v>SYNTHETIC</x:v>
      </x:c>
    </x:row>
    <x:row r="453" ht="38" customHeight="1">
      <x:c r="A453" s="12" t="str">
        <x:v>KS-INJECTION-1000-B0449</x:v>
      </x:c>
      <x:c r="B453" s="14" t="n">
        <x:v>46167</x:v>
      </x:c>
      <x:c r="C453" s="12" t="str">
        <x:v>KS-INJECTION-1000-PAY-202605</x:v>
      </x:c>
      <x:c r="D453" s="12" t="str">
        <x:v>模拟工资代发</x:v>
      </x:c>
      <x:c r="E453" s="12" t="str">
        <x:v>工资</x:v>
      </x:c>
      <x:c r="F453" s="13" t="n">
        <x:v>0</x:v>
      </x:c>
      <x:c r="G453" s="13" t="n">
        <x:v>520000</x:v>
      </x:c>
      <x:c r="H453" s="13" t="n">
        <x:v>11973104</x:v>
      </x:c>
      <x:c r="I453" s="12" t="str">
        <x:v>CNY</x:v>
      </x:c>
      <x:c r="J453" s="12" t="str">
        <x:v>SYNTHETIC</x:v>
      </x:c>
    </x:row>
    <x:row r="454" ht="38" customHeight="1">
      <x:c r="A454" s="12" t="str">
        <x:v>KS-INJECTION-1000-B0450</x:v>
      </x:c>
      <x:c r="B454" s="14" t="n">
        <x:v>46167</x:v>
      </x:c>
      <x:c r="C454" s="12" t="str">
        <x:v>KS-INJECTION-1000-ELEC-202605</x:v>
      </x:c>
      <x:c r="D454" s="12" t="str">
        <x:v>模拟供电结算</x:v>
      </x:c>
      <x:c r="E454" s="12" t="str">
        <x:v>电费</x:v>
      </x:c>
      <x:c r="F454" s="13" t="n">
        <x:v>0</x:v>
      </x:c>
      <x:c r="G454" s="13" t="n">
        <x:v>286000</x:v>
      </x:c>
      <x:c r="H454" s="13" t="n">
        <x:v>11687104</x:v>
      </x:c>
      <x:c r="I454" s="12" t="str">
        <x:v>CNY</x:v>
      </x:c>
      <x:c r="J454" s="12" t="str">
        <x:v>SYNTHETIC</x:v>
      </x:c>
    </x:row>
    <x:row r="455" ht="38" customHeight="1">
      <x:c r="A455" s="12" t="str">
        <x:v>KS-INJECTION-1000-B0451</x:v>
      </x:c>
      <x:c r="B455" s="14" t="n">
        <x:v>46167</x:v>
      </x:c>
      <x:c r="C455" s="12" t="str">
        <x:v>KS-INJECTION-1000-OPEX-202605</x:v>
      </x:c>
      <x:c r="D455" s="12" t="str">
        <x:v>模拟费用结算</x:v>
      </x:c>
      <x:c r="E455" s="12" t="str">
        <x:v>管理销售费用</x:v>
      </x:c>
      <x:c r="F455" s="13" t="n">
        <x:v>0</x:v>
      </x:c>
      <x:c r="G455" s="13" t="n">
        <x:v>320000</x:v>
      </x:c>
      <x:c r="H455" s="13" t="n">
        <x:v>11367104</x:v>
      </x:c>
      <x:c r="I455" s="12" t="str">
        <x:v>CNY</x:v>
      </x:c>
      <x:c r="J455" s="12" t="str">
        <x:v>SYNTHETIC</x:v>
      </x:c>
    </x:row>
    <x:row r="456" ht="38" customHeight="1">
      <x:c r="A456" s="12" t="str">
        <x:v>KS-INJECTION-1000-B0452</x:v>
      </x:c>
      <x:c r="B456" s="14" t="n">
        <x:v>46167</x:v>
      </x:c>
      <x:c r="C456" s="12" t="str">
        <x:v>KS-INJECTION-1000-INT-202605</x:v>
      </x:c>
      <x:c r="D456" s="12" t="str">
        <x:v>模拟融资机构</x:v>
      </x:c>
      <x:c r="E456" s="12" t="str">
        <x:v>利息</x:v>
      </x:c>
      <x:c r="F456" s="13" t="n">
        <x:v>0</x:v>
      </x:c>
      <x:c r="G456" s="13" t="n">
        <x:v>25000</x:v>
      </x:c>
      <x:c r="H456" s="13" t="n">
        <x:v>11342104</x:v>
      </x:c>
      <x:c r="I456" s="12" t="str">
        <x:v>CNY</x:v>
      </x:c>
      <x:c r="J456" s="12" t="str">
        <x:v>SYNTHETIC</x:v>
      </x:c>
    </x:row>
    <x:row r="457" ht="38" customHeight="1">
      <x:c r="A457" s="12" t="str">
        <x:v>KS-INJECTION-1000-B0453</x:v>
      </x:c>
      <x:c r="B457" s="14" t="n">
        <x:v>46167</x:v>
      </x:c>
      <x:c r="C457" s="12" t="str">
        <x:v>KS-INJECTION-1000-VAT-202605</x:v>
      </x:c>
      <x:c r="D457" s="12" t="str">
        <x:v>模拟税费账户</x:v>
      </x:c>
      <x:c r="E457" s="12" t="str">
        <x:v>增值税</x:v>
      </x:c>
      <x:c r="F457" s="13" t="n">
        <x:v>0</x:v>
      </x:c>
      <x:c r="G457" s="13" t="n">
        <x:v>431252</x:v>
      </x:c>
      <x:c r="H457" s="13" t="n">
        <x:v>10910852</x:v>
      </x:c>
      <x:c r="I457" s="12" t="str">
        <x:v>CNY</x:v>
      </x:c>
      <x:c r="J457" s="12" t="str">
        <x:v>SYNTHETIC</x:v>
      </x:c>
    </x:row>
    <x:row r="458" ht="38" customHeight="1">
      <x:c r="A458" s="12" t="str">
        <x:v>KS-INJECTION-1000-B0454</x:v>
      </x:c>
      <x:c r="B458" s="14" t="n">
        <x:v>46167</x:v>
      </x:c>
      <x:c r="C458" s="12" t="str">
        <x:v>KS-INJECTION-1000-CIT-202605</x:v>
      </x:c>
      <x:c r="D458" s="12" t="str">
        <x:v>模拟税费账户</x:v>
      </x:c>
      <x:c r="E458" s="12" t="str">
        <x:v>所得税</x:v>
      </x:c>
      <x:c r="F458" s="13" t="n">
        <x:v>0</x:v>
      </x:c>
      <x:c r="G458" s="13" t="n">
        <x:v>496581</x:v>
      </x:c>
      <x:c r="H458" s="13" t="n">
        <x:v>10414271</x:v>
      </x:c>
      <x:c r="I458" s="12" t="str">
        <x:v>CNY</x:v>
      </x:c>
      <x:c r="J458" s="12" t="str">
        <x:v>SYNTHETIC</x:v>
      </x:c>
    </x:row>
    <x:row r="459" ht="38" customHeight="1">
      <x:c r="A459" s="12" t="str">
        <x:v>KS-INJECTION-1000-B0455</x:v>
      </x:c>
      <x:c r="B459" s="14" t="n">
        <x:v>46185</x:v>
      </x:c>
      <x:c r="C459" s="12" t="str">
        <x:v>KS-INJECTION-1000-S-202606-1</x:v>
      </x:c>
      <x:c r="D459" s="12" t="str">
        <x:v>模拟下游1</x:v>
      </x:c>
      <x:c r="E459" s="12" t="str">
        <x:v>销售回款</x:v>
      </x:c>
      <x:c r="F459" s="13" t="n">
        <x:v>2113014</x:v>
      </x:c>
      <x:c r="G459" s="13" t="n">
        <x:v>0</x:v>
      </x:c>
      <x:c r="H459" s="13" t="n">
        <x:v>12527285</x:v>
      </x:c>
      <x:c r="I459" s="12" t="str">
        <x:v>CNY</x:v>
      </x:c>
      <x:c r="J459" s="12" t="str">
        <x:v>SYNTHETIC</x:v>
      </x:c>
    </x:row>
    <x:row r="460" ht="38" customHeight="1">
      <x:c r="A460" s="12" t="str">
        <x:v>KS-INJECTION-1000-B0456</x:v>
      </x:c>
      <x:c r="B460" s="14" t="n">
        <x:v>46186</x:v>
      </x:c>
      <x:c r="C460" s="12" t="str">
        <x:v>KS-INJECTION-1000-S-202606-2</x:v>
      </x:c>
      <x:c r="D460" s="12" t="str">
        <x:v>模拟下游2</x:v>
      </x:c>
      <x:c r="E460" s="12" t="str">
        <x:v>销售回款</x:v>
      </x:c>
      <x:c r="F460" s="13" t="n">
        <x:v>2050866</x:v>
      </x:c>
      <x:c r="G460" s="13" t="n">
        <x:v>0</x:v>
      </x:c>
      <x:c r="H460" s="13" t="n">
        <x:v>14578151</x:v>
      </x:c>
      <x:c r="I460" s="12" t="str">
        <x:v>CNY</x:v>
      </x:c>
      <x:c r="J460" s="12" t="str">
        <x:v>SYNTHETIC</x:v>
      </x:c>
    </x:row>
    <x:row r="461" ht="38" customHeight="1">
      <x:c r="A461" s="12" t="str">
        <x:v>KS-INJECTION-1000-B0457</x:v>
      </x:c>
      <x:c r="B461" s="14" t="n">
        <x:v>46187</x:v>
      </x:c>
      <x:c r="C461" s="12" t="str">
        <x:v>KS-INJECTION-1000-S-202606-3</x:v>
      </x:c>
      <x:c r="D461" s="12" t="str">
        <x:v>模拟下游3</x:v>
      </x:c>
      <x:c r="E461" s="12" t="str">
        <x:v>销售回款</x:v>
      </x:c>
      <x:c r="F461" s="13" t="n">
        <x:v>2050865</x:v>
      </x:c>
      <x:c r="G461" s="13" t="n">
        <x:v>0</x:v>
      </x:c>
      <x:c r="H461" s="13" t="n">
        <x:v>16629016</x:v>
      </x:c>
      <x:c r="I461" s="12" t="str">
        <x:v>CNY</x:v>
      </x:c>
      <x:c r="J461" s="12" t="str">
        <x:v>SYNTHETIC</x:v>
      </x:c>
    </x:row>
    <x:row r="462" ht="38" customHeight="1">
      <x:c r="A462" s="12" t="str">
        <x:v>KS-INJECTION-1000-B0458</x:v>
      </x:c>
      <x:c r="B462" s="14" t="n">
        <x:v>46189</x:v>
      </x:c>
      <x:c r="C462" s="12" t="str">
        <x:v>KS-INJECTION-1000-P-202606-1</x:v>
      </x:c>
      <x:c r="D462" s="12" t="str">
        <x:v>模拟原料商1</x:v>
      </x:c>
      <x:c r="E462" s="12" t="str">
        <x:v>原料付款</x:v>
      </x:c>
      <x:c r="F462" s="13" t="n">
        <x:v>0</x:v>
      </x:c>
      <x:c r="G462" s="13" t="n">
        <x:v>1619601</x:v>
      </x:c>
      <x:c r="H462" s="13" t="n">
        <x:v>15009415</x:v>
      </x:c>
      <x:c r="I462" s="12" t="str">
        <x:v>CNY</x:v>
      </x:c>
      <x:c r="J462" s="12" t="str">
        <x:v>SYNTHETIC</x:v>
      </x:c>
    </x:row>
    <x:row r="463" ht="38" customHeight="1">
      <x:c r="A463" s="12" t="str">
        <x:v>KS-INJECTION-1000-B0459</x:v>
      </x:c>
      <x:c r="B463" s="14" t="n">
        <x:v>46190</x:v>
      </x:c>
      <x:c r="C463" s="12" t="str">
        <x:v>KS-INJECTION-1000-P-202606-2</x:v>
      </x:c>
      <x:c r="D463" s="12" t="str">
        <x:v>模拟原料商2</x:v>
      </x:c>
      <x:c r="E463" s="12" t="str">
        <x:v>原料付款</x:v>
      </x:c>
      <x:c r="F463" s="13" t="n">
        <x:v>0</x:v>
      </x:c>
      <x:c r="G463" s="13" t="n">
        <x:v>1079733</x:v>
      </x:c>
      <x:c r="H463" s="13" t="n">
        <x:v>13929682</x:v>
      </x:c>
      <x:c r="I463" s="12" t="str">
        <x:v>CNY</x:v>
      </x:c>
      <x:c r="J463" s="12" t="str">
        <x:v>SYNTHETIC</x:v>
      </x:c>
    </x:row>
    <x:row r="464" ht="38" customHeight="1">
      <x:c r="A464" s="12" t="str">
        <x:v>KS-INJECTION-1000-B0460</x:v>
      </x:c>
      <x:c r="B464" s="14" t="n">
        <x:v>46198</x:v>
      </x:c>
      <x:c r="C464" s="12" t="str">
        <x:v>KS-INJECTION-1000-PAY-202606</x:v>
      </x:c>
      <x:c r="D464" s="12" t="str">
        <x:v>模拟工资代发</x:v>
      </x:c>
      <x:c r="E464" s="12" t="str">
        <x:v>工资</x:v>
      </x:c>
      <x:c r="F464" s="13" t="n">
        <x:v>0</x:v>
      </x:c>
      <x:c r="G464" s="13" t="n">
        <x:v>520000</x:v>
      </x:c>
      <x:c r="H464" s="13" t="n">
        <x:v>13409682</x:v>
      </x:c>
      <x:c r="I464" s="12" t="str">
        <x:v>CNY</x:v>
      </x:c>
      <x:c r="J464" s="12" t="str">
        <x:v>SYNTHETIC</x:v>
      </x:c>
    </x:row>
    <x:row r="465" ht="38" customHeight="1">
      <x:c r="A465" s="12" t="str">
        <x:v>KS-INJECTION-1000-B0461</x:v>
      </x:c>
      <x:c r="B465" s="14" t="n">
        <x:v>46198</x:v>
      </x:c>
      <x:c r="C465" s="12" t="str">
        <x:v>KS-INJECTION-1000-ELEC-202606</x:v>
      </x:c>
      <x:c r="D465" s="12" t="str">
        <x:v>模拟供电结算</x:v>
      </x:c>
      <x:c r="E465" s="12" t="str">
        <x:v>电费</x:v>
      </x:c>
      <x:c r="F465" s="13" t="n">
        <x:v>0</x:v>
      </x:c>
      <x:c r="G465" s="13" t="n">
        <x:v>273000</x:v>
      </x:c>
      <x:c r="H465" s="13" t="n">
        <x:v>13136682</x:v>
      </x:c>
      <x:c r="I465" s="12" t="str">
        <x:v>CNY</x:v>
      </x:c>
      <x:c r="J465" s="12" t="str">
        <x:v>SYNTHETIC</x:v>
      </x:c>
    </x:row>
    <x:row r="466" ht="38" customHeight="1">
      <x:c r="A466" s="12" t="str">
        <x:v>KS-INJECTION-1000-B0462</x:v>
      </x:c>
      <x:c r="B466" s="14" t="n">
        <x:v>46198</x:v>
      </x:c>
      <x:c r="C466" s="12" t="str">
        <x:v>KS-INJECTION-1000-OPEX-202606</x:v>
      </x:c>
      <x:c r="D466" s="12" t="str">
        <x:v>模拟费用结算</x:v>
      </x:c>
      <x:c r="E466" s="12" t="str">
        <x:v>管理销售费用</x:v>
      </x:c>
      <x:c r="F466" s="13" t="n">
        <x:v>0</x:v>
      </x:c>
      <x:c r="G466" s="13" t="n">
        <x:v>320000</x:v>
      </x:c>
      <x:c r="H466" s="13" t="n">
        <x:v>12816682</x:v>
      </x:c>
      <x:c r="I466" s="12" t="str">
        <x:v>CNY</x:v>
      </x:c>
      <x:c r="J466" s="12" t="str">
        <x:v>SYNTHETIC</x:v>
      </x:c>
    </x:row>
    <x:row r="467" ht="38" customHeight="1">
      <x:c r="A467" s="12" t="str">
        <x:v>KS-INJECTION-1000-B0463</x:v>
      </x:c>
      <x:c r="B467" s="14" t="n">
        <x:v>46198</x:v>
      </x:c>
      <x:c r="C467" s="12" t="str">
        <x:v>KS-INJECTION-1000-INT-202606</x:v>
      </x:c>
      <x:c r="D467" s="12" t="str">
        <x:v>模拟融资机构</x:v>
      </x:c>
      <x:c r="E467" s="12" t="str">
        <x:v>利息</x:v>
      </x:c>
      <x:c r="F467" s="13" t="n">
        <x:v>0</x:v>
      </x:c>
      <x:c r="G467" s="13" t="n">
        <x:v>25000</x:v>
      </x:c>
      <x:c r="H467" s="13" t="n">
        <x:v>12791682</x:v>
      </x:c>
      <x:c r="I467" s="12" t="str">
        <x:v>CNY</x:v>
      </x:c>
      <x:c r="J467" s="12" t="str">
        <x:v>SYNTHETIC</x:v>
      </x:c>
    </x:row>
    <x:row r="468" ht="38" customHeight="1">
      <x:c r="A468" s="12" t="str">
        <x:v>KS-INJECTION-1000-B0464</x:v>
      </x:c>
      <x:c r="B468" s="14" t="n">
        <x:v>46198</x:v>
      </x:c>
      <x:c r="C468" s="12" t="str">
        <x:v>KS-INJECTION-1000-VAT-202606</x:v>
      </x:c>
      <x:c r="D468" s="12" t="str">
        <x:v>模拟税费账户</x:v>
      </x:c>
      <x:c r="E468" s="12" t="str">
        <x:v>增值税</x:v>
      </x:c>
      <x:c r="F468" s="13" t="n">
        <x:v>0</x:v>
      </x:c>
      <x:c r="G468" s="13" t="n">
        <x:v>411650</x:v>
      </x:c>
      <x:c r="H468" s="13" t="n">
        <x:v>12380032</x:v>
      </x:c>
      <x:c r="I468" s="12" t="str">
        <x:v>CNY</x:v>
      </x:c>
      <x:c r="J468" s="12" t="str">
        <x:v>SYNTHETIC</x:v>
      </x:c>
    </x:row>
    <x:row r="469" ht="38" customHeight="1">
      <x:c r="A469" s="12" t="str">
        <x:v>KS-INJECTION-1000-B0465</x:v>
      </x:c>
      <x:c r="B469" s="14" t="n">
        <x:v>46198</x:v>
      </x:c>
      <x:c r="C469" s="12" t="str">
        <x:v>KS-INJECTION-1000-CIT-202606</x:v>
      </x:c>
      <x:c r="D469" s="12" t="str">
        <x:v>模拟税费账户</x:v>
      </x:c>
      <x:c r="E469" s="12" t="str">
        <x:v>所得税</x:v>
      </x:c>
      <x:c r="F469" s="13" t="n">
        <x:v>0</x:v>
      </x:c>
      <x:c r="G469" s="13" t="n">
        <x:v>462134</x:v>
      </x:c>
      <x:c r="H469" s="13" t="n">
        <x:v>11917898</x:v>
      </x:c>
      <x:c r="I469" s="12" t="str">
        <x:v>CNY</x:v>
      </x:c>
      <x:c r="J469" s="12" t="str">
        <x:v>SYNTHETIC</x:v>
      </x:c>
    </x:row>
    <x:row r="470" ht="38" customHeight="1">
      <x:c r="A470" s="12" t="str">
        <x:v>KS-INJECTION-1000-B0466</x:v>
      </x:c>
      <x:c r="B470" s="14" t="n">
        <x:v>46215</x:v>
      </x:c>
      <x:c r="C470" s="12" t="str">
        <x:v>KS-INJECTION-1000-S-202607-1</x:v>
      </x:c>
      <x:c r="D470" s="12" t="str">
        <x:v>模拟下游1</x:v>
      </x:c>
      <x:c r="E470" s="12" t="str">
        <x:v>销售回款</x:v>
      </x:c>
      <x:c r="F470" s="13" t="n">
        <x:v>2173386</x:v>
      </x:c>
      <x:c r="G470" s="13" t="n">
        <x:v>0</x:v>
      </x:c>
      <x:c r="H470" s="13" t="n">
        <x:v>14091284</x:v>
      </x:c>
      <x:c r="I470" s="12" t="str">
        <x:v>CNY</x:v>
      </x:c>
      <x:c r="J470" s="12" t="str">
        <x:v>SYNTHETIC</x:v>
      </x:c>
    </x:row>
    <x:row r="471" ht="38" customHeight="1">
      <x:c r="A471" s="12" t="str">
        <x:v>KS-INJECTION-1000-B0467</x:v>
      </x:c>
      <x:c r="B471" s="14" t="n">
        <x:v>46216</x:v>
      </x:c>
      <x:c r="C471" s="12" t="str">
        <x:v>KS-INJECTION-1000-S-202607-2</x:v>
      </x:c>
      <x:c r="D471" s="12" t="str">
        <x:v>模拟下游2</x:v>
      </x:c>
      <x:c r="E471" s="12" t="str">
        <x:v>销售回款</x:v>
      </x:c>
      <x:c r="F471" s="13" t="n">
        <x:v>2109462</x:v>
      </x:c>
      <x:c r="G471" s="13" t="n">
        <x:v>0</x:v>
      </x:c>
      <x:c r="H471" s="13" t="n">
        <x:v>16200746</x:v>
      </x:c>
      <x:c r="I471" s="12" t="str">
        <x:v>CNY</x:v>
      </x:c>
      <x:c r="J471" s="12" t="str">
        <x:v>SYNTHETIC</x:v>
      </x:c>
    </x:row>
    <x:row r="472" ht="38" customHeight="1">
      <x:c r="A472" s="12" t="str">
        <x:v>KS-INJECTION-1000-B0468</x:v>
      </x:c>
      <x:c r="B472" s="14" t="n">
        <x:v>46217</x:v>
      </x:c>
      <x:c r="C472" s="12" t="str">
        <x:v>KS-INJECTION-1000-S-202607-3</x:v>
      </x:c>
      <x:c r="D472" s="12" t="str">
        <x:v>模拟下游3</x:v>
      </x:c>
      <x:c r="E472" s="12" t="str">
        <x:v>销售回款</x:v>
      </x:c>
      <x:c r="F472" s="13" t="n">
        <x:v>2109462</x:v>
      </x:c>
      <x:c r="G472" s="13" t="n">
        <x:v>0</x:v>
      </x:c>
      <x:c r="H472" s="13" t="n">
        <x:v>18310208</x:v>
      </x:c>
      <x:c r="I472" s="12" t="str">
        <x:v>CNY</x:v>
      </x:c>
      <x:c r="J472" s="12" t="str">
        <x:v>SYNTHETIC</x:v>
      </x:c>
    </x:row>
    <x:row r="473" ht="38" customHeight="1">
      <x:c r="A473" s="12" t="str">
        <x:v>KS-INJECTION-1000-B0469</x:v>
      </x:c>
      <x:c r="B473" s="14" t="n">
        <x:v>46219</x:v>
      </x:c>
      <x:c r="C473" s="12" t="str">
        <x:v>KS-INJECTION-1000-P-202607-1</x:v>
      </x:c>
      <x:c r="D473" s="12" t="str">
        <x:v>模拟原料商1</x:v>
      </x:c>
      <x:c r="E473" s="12" t="str">
        <x:v>原料付款</x:v>
      </x:c>
      <x:c r="F473" s="13" t="n">
        <x:v>0</x:v>
      </x:c>
      <x:c r="G473" s="13" t="n">
        <x:v>1665874</x:v>
      </x:c>
      <x:c r="H473" s="13" t="n">
        <x:v>16644334</x:v>
      </x:c>
      <x:c r="I473" s="12" t="str">
        <x:v>CNY</x:v>
      </x:c>
      <x:c r="J473" s="12" t="str">
        <x:v>SYNTHETIC</x:v>
      </x:c>
    </x:row>
    <x:row r="474" ht="38" customHeight="1">
      <x:c r="A474" s="12" t="str">
        <x:v>KS-INJECTION-1000-B0470</x:v>
      </x:c>
      <x:c r="B474" s="14" t="n">
        <x:v>46220</x:v>
      </x:c>
      <x:c r="C474" s="12" t="str">
        <x:v>KS-INJECTION-1000-P-202607-2</x:v>
      </x:c>
      <x:c r="D474" s="12" t="str">
        <x:v>模拟原料商2</x:v>
      </x:c>
      <x:c r="E474" s="12" t="str">
        <x:v>原料付款</x:v>
      </x:c>
      <x:c r="F474" s="13" t="n">
        <x:v>0</x:v>
      </x:c>
      <x:c r="G474" s="13" t="n">
        <x:v>1110583</x:v>
      </x:c>
      <x:c r="H474" s="13" t="n">
        <x:v>15533751</x:v>
      </x:c>
      <x:c r="I474" s="12" t="str">
        <x:v>CNY</x:v>
      </x:c>
      <x:c r="J474" s="12" t="str">
        <x:v>SYNTHETIC</x:v>
      </x:c>
    </x:row>
    <x:row r="475" ht="38" customHeight="1">
      <x:c r="A475" s="12" t="str">
        <x:v>KS-INJECTION-1000-B0471</x:v>
      </x:c>
      <x:c r="B475" s="14" t="n">
        <x:v>46228</x:v>
      </x:c>
      <x:c r="C475" s="12" t="str">
        <x:v>KS-INJECTION-1000-PAY-202607</x:v>
      </x:c>
      <x:c r="D475" s="12" t="str">
        <x:v>模拟工资代发</x:v>
      </x:c>
      <x:c r="E475" s="12" t="str">
        <x:v>工资</x:v>
      </x:c>
      <x:c r="F475" s="13" t="n">
        <x:v>0</x:v>
      </x:c>
      <x:c r="G475" s="13" t="n">
        <x:v>520000</x:v>
      </x:c>
      <x:c r="H475" s="13" t="n">
        <x:v>15013751</x:v>
      </x:c>
      <x:c r="I475" s="12" t="str">
        <x:v>CNY</x:v>
      </x:c>
      <x:c r="J475" s="12" t="str">
        <x:v>SYNTHETIC</x:v>
      </x:c>
    </x:row>
    <x:row r="476" ht="38" customHeight="1">
      <x:c r="A476" s="12" t="str">
        <x:v>KS-INJECTION-1000-B0472</x:v>
      </x:c>
      <x:c r="B476" s="14" t="n">
        <x:v>46228</x:v>
      </x:c>
      <x:c r="C476" s="12" t="str">
        <x:v>KS-INJECTION-1000-ELEC-202607</x:v>
      </x:c>
      <x:c r="D476" s="12" t="str">
        <x:v>模拟供电结算</x:v>
      </x:c>
      <x:c r="E476" s="12" t="str">
        <x:v>电费</x:v>
      </x:c>
      <x:c r="F476" s="13" t="n">
        <x:v>0</x:v>
      </x:c>
      <x:c r="G476" s="13" t="n">
        <x:v>280800</x:v>
      </x:c>
      <x:c r="H476" s="13" t="n">
        <x:v>14732951</x:v>
      </x:c>
      <x:c r="I476" s="12" t="str">
        <x:v>CNY</x:v>
      </x:c>
      <x:c r="J476" s="12" t="str">
        <x:v>SYNTHETIC</x:v>
      </x:c>
    </x:row>
    <x:row r="477" ht="38" customHeight="1">
      <x:c r="A477" s="12" t="str">
        <x:v>KS-INJECTION-1000-B0473</x:v>
      </x:c>
      <x:c r="B477" s="14" t="n">
        <x:v>46228</x:v>
      </x:c>
      <x:c r="C477" s="12" t="str">
        <x:v>KS-INJECTION-1000-OPEX-202607</x:v>
      </x:c>
      <x:c r="D477" s="12" t="str">
        <x:v>模拟费用结算</x:v>
      </x:c>
      <x:c r="E477" s="12" t="str">
        <x:v>管理销售费用</x:v>
      </x:c>
      <x:c r="F477" s="13" t="n">
        <x:v>0</x:v>
      </x:c>
      <x:c r="G477" s="13" t="n">
        <x:v>320000</x:v>
      </x:c>
      <x:c r="H477" s="13" t="n">
        <x:v>14412951</x:v>
      </x:c>
      <x:c r="I477" s="12" t="str">
        <x:v>CNY</x:v>
      </x:c>
      <x:c r="J477" s="12" t="str">
        <x:v>SYNTHETIC</x:v>
      </x:c>
    </x:row>
    <x:row r="478" ht="38" customHeight="1">
      <x:c r="A478" s="12" t="str">
        <x:v>KS-INJECTION-1000-B0474</x:v>
      </x:c>
      <x:c r="B478" s="14" t="n">
        <x:v>46228</x:v>
      </x:c>
      <x:c r="C478" s="12" t="str">
        <x:v>KS-INJECTION-1000-INT-202607</x:v>
      </x:c>
      <x:c r="D478" s="12" t="str">
        <x:v>模拟融资机构</x:v>
      </x:c>
      <x:c r="E478" s="12" t="str">
        <x:v>利息</x:v>
      </x:c>
      <x:c r="F478" s="13" t="n">
        <x:v>0</x:v>
      </x:c>
      <x:c r="G478" s="13" t="n">
        <x:v>25000</x:v>
      </x:c>
      <x:c r="H478" s="13" t="n">
        <x:v>14387951</x:v>
      </x:c>
      <x:c r="I478" s="12" t="str">
        <x:v>CNY</x:v>
      </x:c>
      <x:c r="J478" s="12" t="str">
        <x:v>SYNTHETIC</x:v>
      </x:c>
    </x:row>
    <x:row r="479" ht="38" customHeight="1">
      <x:c r="A479" s="12" t="str">
        <x:v>KS-INJECTION-1000-B0475</x:v>
      </x:c>
      <x:c r="B479" s="14" t="n">
        <x:v>46228</x:v>
      </x:c>
      <x:c r="C479" s="12" t="str">
        <x:v>KS-INJECTION-1000-VAT-202607</x:v>
      </x:c>
      <x:c r="D479" s="12" t="str">
        <x:v>模拟税费账户</x:v>
      </x:c>
      <x:c r="E479" s="12" t="str">
        <x:v>增值税</x:v>
      </x:c>
      <x:c r="F479" s="13" t="n">
        <x:v>0</x:v>
      </x:c>
      <x:c r="G479" s="13" t="n">
        <x:v>423412</x:v>
      </x:c>
      <x:c r="H479" s="13" t="n">
        <x:v>13964539</x:v>
      </x:c>
      <x:c r="I479" s="12" t="str">
        <x:v>CNY</x:v>
      </x:c>
      <x:c r="J479" s="12" t="str">
        <x:v>SYNTHETIC</x:v>
      </x:c>
    </x:row>
    <x:row r="480" ht="38" customHeight="1">
      <x:c r="A480" s="12" t="str">
        <x:v>KS-INJECTION-1000-B0476</x:v>
      </x:c>
      <x:c r="B480" s="14" t="n">
        <x:v>46228</x:v>
      </x:c>
      <x:c r="C480" s="12" t="str">
        <x:v>KS-INJECTION-1000-CIT-202607</x:v>
      </x:c>
      <x:c r="D480" s="12" t="str">
        <x:v>模拟税费账户</x:v>
      </x:c>
      <x:c r="E480" s="12" t="str">
        <x:v>所得税</x:v>
      </x:c>
      <x:c r="F480" s="13" t="n">
        <x:v>0</x:v>
      </x:c>
      <x:c r="G480" s="13" t="n">
        <x:v>482802</x:v>
      </x:c>
      <x:c r="H480" s="13" t="n">
        <x:v>13481737</x:v>
      </x:c>
      <x:c r="I480" s="12" t="str">
        <x:v>CNY</x:v>
      </x:c>
      <x:c r="J480" s="12" t="str">
        <x:v>SYNTHETIC</x:v>
      </x:c>
    </x:row>
    <x:row r="481" ht="38" customHeight="1">
      <x:c r="A481" s="12" t="str">
        <x:v>KS-INJECTION-1000-B0477</x:v>
      </x:c>
      <x:c r="B481" s="14" t="n">
        <x:v>46246</x:v>
      </x:c>
      <x:c r="C481" s="12" t="str">
        <x:v>KS-INJECTION-1000-S-202608-1</x:v>
      </x:c>
      <x:c r="D481" s="12" t="str">
        <x:v>模拟下游1</x:v>
      </x:c>
      <x:c r="E481" s="12" t="str">
        <x:v>销售回款</x:v>
      </x:c>
      <x:c r="F481" s="13" t="n">
        <x:v>2173386</x:v>
      </x:c>
      <x:c r="G481" s="13" t="n">
        <x:v>0</x:v>
      </x:c>
      <x:c r="H481" s="13" t="n">
        <x:v>15655123</x:v>
      </x:c>
      <x:c r="I481" s="12" t="str">
        <x:v>CNY</x:v>
      </x:c>
      <x:c r="J481" s="12" t="str">
        <x:v>SYNTHETIC</x:v>
      </x:c>
    </x:row>
    <x:row r="482" ht="38" customHeight="1">
      <x:c r="A482" s="12" t="str">
        <x:v>KS-INJECTION-1000-B0478</x:v>
      </x:c>
      <x:c r="B482" s="14" t="n">
        <x:v>46247</x:v>
      </x:c>
      <x:c r="C482" s="12" t="str">
        <x:v>KS-INJECTION-1000-S-202608-2</x:v>
      </x:c>
      <x:c r="D482" s="12" t="str">
        <x:v>模拟下游2</x:v>
      </x:c>
      <x:c r="E482" s="12" t="str">
        <x:v>销售回款</x:v>
      </x:c>
      <x:c r="F482" s="13" t="n">
        <x:v>2109462</x:v>
      </x:c>
      <x:c r="G482" s="13" t="n">
        <x:v>0</x:v>
      </x:c>
      <x:c r="H482" s="13" t="n">
        <x:v>17764585</x:v>
      </x:c>
      <x:c r="I482" s="12" t="str">
        <x:v>CNY</x:v>
      </x:c>
      <x:c r="J482" s="12" t="str">
        <x:v>SYNTHETIC</x:v>
      </x:c>
    </x:row>
    <x:row r="483" ht="38" customHeight="1">
      <x:c r="A483" s="12" t="str">
        <x:v>KS-INJECTION-1000-B0479</x:v>
      </x:c>
      <x:c r="B483" s="14" t="n">
        <x:v>46248</x:v>
      </x:c>
      <x:c r="C483" s="12" t="str">
        <x:v>KS-INJECTION-1000-S-202608-3</x:v>
      </x:c>
      <x:c r="D483" s="12" t="str">
        <x:v>模拟下游3</x:v>
      </x:c>
      <x:c r="E483" s="12" t="str">
        <x:v>销售回款</x:v>
      </x:c>
      <x:c r="F483" s="13" t="n">
        <x:v>2109462</x:v>
      </x:c>
      <x:c r="G483" s="13" t="n">
        <x:v>0</x:v>
      </x:c>
      <x:c r="H483" s="13" t="n">
        <x:v>19874047</x:v>
      </x:c>
      <x:c r="I483" s="12" t="str">
        <x:v>CNY</x:v>
      </x:c>
      <x:c r="J483" s="12" t="str">
        <x:v>SYNTHETIC</x:v>
      </x:c>
    </x:row>
    <x:row r="484" ht="38" customHeight="1">
      <x:c r="A484" s="12" t="str">
        <x:v>KS-INJECTION-1000-B0480</x:v>
      </x:c>
      <x:c r="B484" s="14" t="n">
        <x:v>46250</x:v>
      </x:c>
      <x:c r="C484" s="12" t="str">
        <x:v>KS-INJECTION-1000-P-202608-1</x:v>
      </x:c>
      <x:c r="D484" s="12" t="str">
        <x:v>模拟原料商1</x:v>
      </x:c>
      <x:c r="E484" s="12" t="str">
        <x:v>原料付款</x:v>
      </x:c>
      <x:c r="F484" s="13" t="n">
        <x:v>0</x:v>
      </x:c>
      <x:c r="G484" s="13" t="n">
        <x:v>1665874</x:v>
      </x:c>
      <x:c r="H484" s="13" t="n">
        <x:v>18208173</x:v>
      </x:c>
      <x:c r="I484" s="12" t="str">
        <x:v>CNY</x:v>
      </x:c>
      <x:c r="J484" s="12" t="str">
        <x:v>SYNTHETIC</x:v>
      </x:c>
    </x:row>
    <x:row r="485" ht="38" customHeight="1">
      <x:c r="A485" s="12" t="str">
        <x:v>KS-INJECTION-1000-B0481</x:v>
      </x:c>
      <x:c r="B485" s="14" t="n">
        <x:v>46251</x:v>
      </x:c>
      <x:c r="C485" s="12" t="str">
        <x:v>KS-INJECTION-1000-P-202608-2</x:v>
      </x:c>
      <x:c r="D485" s="12" t="str">
        <x:v>模拟原料商2</x:v>
      </x:c>
      <x:c r="E485" s="12" t="str">
        <x:v>原料付款</x:v>
      </x:c>
      <x:c r="F485" s="13" t="n">
        <x:v>0</x:v>
      </x:c>
      <x:c r="G485" s="13" t="n">
        <x:v>1110583</x:v>
      </x:c>
      <x:c r="H485" s="13" t="n">
        <x:v>17097590</x:v>
      </x:c>
      <x:c r="I485" s="12" t="str">
        <x:v>CNY</x:v>
      </x:c>
      <x:c r="J485" s="12" t="str">
        <x:v>SYNTHETIC</x:v>
      </x:c>
    </x:row>
    <x:row r="486" ht="38" customHeight="1">
      <x:c r="A486" s="12" t="str">
        <x:v>KS-INJECTION-1000-B0482</x:v>
      </x:c>
      <x:c r="B486" s="14" t="n">
        <x:v>46259</x:v>
      </x:c>
      <x:c r="C486" s="12" t="str">
        <x:v>KS-INJECTION-1000-PAY-202608</x:v>
      </x:c>
      <x:c r="D486" s="12" t="str">
        <x:v>模拟工资代发</x:v>
      </x:c>
      <x:c r="E486" s="12" t="str">
        <x:v>工资</x:v>
      </x:c>
      <x:c r="F486" s="13" t="n">
        <x:v>0</x:v>
      </x:c>
      <x:c r="G486" s="13" t="n">
        <x:v>520000</x:v>
      </x:c>
      <x:c r="H486" s="13" t="n">
        <x:v>16577590</x:v>
      </x:c>
      <x:c r="I486" s="12" t="str">
        <x:v>CNY</x:v>
      </x:c>
      <x:c r="J486" s="12" t="str">
        <x:v>SYNTHETIC</x:v>
      </x:c>
    </x:row>
    <x:row r="487" ht="38" customHeight="1">
      <x:c r="A487" s="12" t="str">
        <x:v>KS-INJECTION-1000-B0483</x:v>
      </x:c>
      <x:c r="B487" s="14" t="n">
        <x:v>46259</x:v>
      </x:c>
      <x:c r="C487" s="12" t="str">
        <x:v>KS-INJECTION-1000-ELEC-202608</x:v>
      </x:c>
      <x:c r="D487" s="12" t="str">
        <x:v>模拟供电结算</x:v>
      </x:c>
      <x:c r="E487" s="12" t="str">
        <x:v>电费</x:v>
      </x:c>
      <x:c r="F487" s="13" t="n">
        <x:v>0</x:v>
      </x:c>
      <x:c r="G487" s="13" t="n">
        <x:v>280800</x:v>
      </x:c>
      <x:c r="H487" s="13" t="n">
        <x:v>16296790</x:v>
      </x:c>
      <x:c r="I487" s="12" t="str">
        <x:v>CNY</x:v>
      </x:c>
      <x:c r="J487" s="12" t="str">
        <x:v>SYNTHETIC</x:v>
      </x:c>
    </x:row>
    <x:row r="488" ht="38" customHeight="1">
      <x:c r="A488" s="12" t="str">
        <x:v>KS-INJECTION-1000-B0484</x:v>
      </x:c>
      <x:c r="B488" s="14" t="n">
        <x:v>46259</x:v>
      </x:c>
      <x:c r="C488" s="12" t="str">
        <x:v>KS-INJECTION-1000-OPEX-202608</x:v>
      </x:c>
      <x:c r="D488" s="12" t="str">
        <x:v>模拟费用结算</x:v>
      </x:c>
      <x:c r="E488" s="12" t="str">
        <x:v>管理销售费用</x:v>
      </x:c>
      <x:c r="F488" s="13" t="n">
        <x:v>0</x:v>
      </x:c>
      <x:c r="G488" s="13" t="n">
        <x:v>320000</x:v>
      </x:c>
      <x:c r="H488" s="13" t="n">
        <x:v>15976790</x:v>
      </x:c>
      <x:c r="I488" s="12" t="str">
        <x:v>CNY</x:v>
      </x:c>
      <x:c r="J488" s="12" t="str">
        <x:v>SYNTHETIC</x:v>
      </x:c>
    </x:row>
    <x:row r="489" ht="38" customHeight="1">
      <x:c r="A489" s="12" t="str">
        <x:v>KS-INJECTION-1000-B0485</x:v>
      </x:c>
      <x:c r="B489" s="14" t="n">
        <x:v>46259</x:v>
      </x:c>
      <x:c r="C489" s="12" t="str">
        <x:v>KS-INJECTION-1000-INT-202608</x:v>
      </x:c>
      <x:c r="D489" s="12" t="str">
        <x:v>模拟融资机构</x:v>
      </x:c>
      <x:c r="E489" s="12" t="str">
        <x:v>利息</x:v>
      </x:c>
      <x:c r="F489" s="13" t="n">
        <x:v>0</x:v>
      </x:c>
      <x:c r="G489" s="13" t="n">
        <x:v>25000</x:v>
      </x:c>
      <x:c r="H489" s="13" t="n">
        <x:v>15951790</x:v>
      </x:c>
      <x:c r="I489" s="12" t="str">
        <x:v>CNY</x:v>
      </x:c>
      <x:c r="J489" s="12" t="str">
        <x:v>SYNTHETIC</x:v>
      </x:c>
    </x:row>
    <x:row r="490" ht="38" customHeight="1">
      <x:c r="A490" s="12" t="str">
        <x:v>KS-INJECTION-1000-B0486</x:v>
      </x:c>
      <x:c r="B490" s="14" t="n">
        <x:v>46259</x:v>
      </x:c>
      <x:c r="C490" s="12" t="str">
        <x:v>KS-INJECTION-1000-VAT-202608</x:v>
      </x:c>
      <x:c r="D490" s="12" t="str">
        <x:v>模拟税费账户</x:v>
      </x:c>
      <x:c r="E490" s="12" t="str">
        <x:v>增值税</x:v>
      </x:c>
      <x:c r="F490" s="13" t="n">
        <x:v>0</x:v>
      </x:c>
      <x:c r="G490" s="13" t="n">
        <x:v>423412</x:v>
      </x:c>
      <x:c r="H490" s="13" t="n">
        <x:v>15528378</x:v>
      </x:c>
      <x:c r="I490" s="12" t="str">
        <x:v>CNY</x:v>
      </x:c>
      <x:c r="J490" s="12" t="str">
        <x:v>SYNTHETIC</x:v>
      </x:c>
    </x:row>
    <x:row r="491" ht="38" customHeight="1">
      <x:c r="A491" s="12" t="str">
        <x:v>KS-INJECTION-1000-B0487</x:v>
      </x:c>
      <x:c r="B491" s="14" t="n">
        <x:v>46259</x:v>
      </x:c>
      <x:c r="C491" s="12" t="str">
        <x:v>KS-INJECTION-1000-CIT-202608</x:v>
      </x:c>
      <x:c r="D491" s="12" t="str">
        <x:v>模拟税费账户</x:v>
      </x:c>
      <x:c r="E491" s="12" t="str">
        <x:v>所得税</x:v>
      </x:c>
      <x:c r="F491" s="13" t="n">
        <x:v>0</x:v>
      </x:c>
      <x:c r="G491" s="13" t="n">
        <x:v>482802</x:v>
      </x:c>
      <x:c r="H491" s="13" t="n">
        <x:v>15045576</x:v>
      </x:c>
      <x:c r="I491" s="12" t="str">
        <x:v>CNY</x:v>
      </x:c>
      <x:c r="J491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6" hidden="0" customWidth="1"/>
    <x:col min="12" max="12" width="46" hidden="0" customWidth="1"/>
    <x:col min="13" max="13" width="21" hidden="0" customWidth="1"/>
  </x:cols>
  <x:sheetData>
    <x:row r="1" ht="30" customHeight="1">
      <x:c r="A1" s="9" t="str">
        <x:v>喀什示例塑料制品有限公司 · 销售开票回款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38" customHeight="1">
      <x:c r="A4" s="11" t="str">
        <x:v>订单号</x:v>
      </x:c>
      <x:c r="B4" s="11" t="str">
        <x:v>合同日期</x:v>
      </x:c>
      <x:c r="C4" s="11" t="str">
        <x:v>客户</x:v>
      </x:c>
      <x:c r="D4" s="11" t="str">
        <x:v>产品</x:v>
      </x:c>
      <x:c r="E4" s="11" t="str">
        <x:v>不含税元</x:v>
      </x:c>
      <x:c r="F4" s="11" t="str">
        <x:v>税额元</x:v>
      </x:c>
      <x:c r="G4" s="11" t="str">
        <x:v>价税合计元</x:v>
      </x:c>
      <x:c r="H4" s="11" t="str">
        <x:v>已回款元</x:v>
      </x:c>
      <x:c r="I4" s="11" t="str">
        <x:v>未收元</x:v>
      </x:c>
      <x:c r="J4" s="11" t="str">
        <x:v>交付日</x:v>
      </x:c>
      <x:c r="K4" s="11" t="str">
        <x:v>模拟发票号</x:v>
      </x:c>
      <x:c r="L4" s="11" t="str">
        <x:v>交付单号</x:v>
      </x:c>
      <x:c r="M4" s="11" t="str">
        <x:v>标识</x:v>
      </x:c>
    </x:row>
    <x:row r="5" ht="38" customHeight="1">
      <x:c r="A5" s="12" t="str">
        <x:v>KS-INJECTION-1000-S-202301-1</x:v>
      </x:c>
      <x:c r="B5" s="14" t="n">
        <x:v>44931</x:v>
      </x:c>
      <x:c r="C5" s="12" t="str">
        <x:v>模拟下游1</x:v>
      </x:c>
      <x:c r="D5" s="12" t="str">
        <x:v>工业塑料周转配件</x:v>
      </x:c>
      <x:c r="E5" s="13" t="n">
        <x:v>1142400</x:v>
      </x:c>
      <x:c r="F5" s="13" t="n">
        <x:v>148512</x:v>
      </x:c>
      <x:c r="G5" s="13" t="n">
        <x:v>1290912</x:v>
      </x:c>
      <x:c r="H5" s="13" t="n">
        <x:v>1290912</x:v>
      </x:c>
      <x:c r="I5" s="13" t="n">
        <x:v>0</x:v>
      </x:c>
      <x:c r="J5" s="14" t="n">
        <x:v>44936</x:v>
      </x:c>
      <x:c r="K5" s="12" t="str">
        <x:v>KS-INJECTION-1000-S-202301-1-INV</x:v>
      </x:c>
      <x:c r="L5" s="12" t="str">
        <x:v>KS-INJECTION-1000-S-202301-1-DEL</x:v>
      </x:c>
      <x:c r="M5" s="12" t="str">
        <x:v>SYNTHETIC</x:v>
      </x:c>
    </x:row>
    <x:row r="6" ht="38" customHeight="1">
      <x:c r="A6" s="12" t="str">
        <x:v>KS-INJECTION-1000-S-202301-2</x:v>
      </x:c>
      <x:c r="B6" s="14" t="n">
        <x:v>44931</x:v>
      </x:c>
      <x:c r="C6" s="12" t="str">
        <x:v>模拟下游2</x:v>
      </x:c>
      <x:c r="D6" s="12" t="str">
        <x:v>工业塑料周转配件</x:v>
      </x:c>
      <x:c r="E6" s="13" t="n">
        <x:v>1108800</x:v>
      </x:c>
      <x:c r="F6" s="13" t="n">
        <x:v>144144</x:v>
      </x:c>
      <x:c r="G6" s="13" t="n">
        <x:v>1252944</x:v>
      </x:c>
      <x:c r="H6" s="13" t="n">
        <x:v>1252944</x:v>
      </x:c>
      <x:c r="I6" s="13" t="n">
        <x:v>0</x:v>
      </x:c>
      <x:c r="J6" s="14" t="n">
        <x:v>44936</x:v>
      </x:c>
      <x:c r="K6" s="12" t="str">
        <x:v>KS-INJECTION-1000-S-202301-2-INV</x:v>
      </x:c>
      <x:c r="L6" s="12" t="str">
        <x:v>KS-INJECTION-1000-S-202301-2-DEL</x:v>
      </x:c>
      <x:c r="M6" s="12" t="str">
        <x:v>SYNTHETIC</x:v>
      </x:c>
    </x:row>
    <x:row r="7" ht="38" customHeight="1">
      <x:c r="A7" s="12" t="str">
        <x:v>KS-INJECTION-1000-S-202301-3</x:v>
      </x:c>
      <x:c r="B7" s="14" t="n">
        <x:v>44931</x:v>
      </x:c>
      <x:c r="C7" s="12" t="str">
        <x:v>模拟下游3</x:v>
      </x:c>
      <x:c r="D7" s="12" t="str">
        <x:v>工业塑料周转配件</x:v>
      </x:c>
      <x:c r="E7" s="13" t="n">
        <x:v>1108800</x:v>
      </x:c>
      <x:c r="F7" s="13" t="n">
        <x:v>144144</x:v>
      </x:c>
      <x:c r="G7" s="13" t="n">
        <x:v>1252944</x:v>
      </x:c>
      <x:c r="H7" s="13" t="n">
        <x:v>1252944</x:v>
      </x:c>
      <x:c r="I7" s="13" t="n">
        <x:v>0</x:v>
      </x:c>
      <x:c r="J7" s="14" t="n">
        <x:v>44936</x:v>
      </x:c>
      <x:c r="K7" s="12" t="str">
        <x:v>KS-INJECTION-1000-S-202301-3-INV</x:v>
      </x:c>
      <x:c r="L7" s="12" t="str">
        <x:v>KS-INJECTION-1000-S-202301-3-DEL</x:v>
      </x:c>
      <x:c r="M7" s="12" t="str">
        <x:v>SYNTHETIC</x:v>
      </x:c>
    </x:row>
    <x:row r="8" ht="38" customHeight="1">
      <x:c r="A8" s="12" t="str">
        <x:v>KS-INJECTION-1000-S-202302-1</x:v>
      </x:c>
      <x:c r="B8" s="14" t="n">
        <x:v>44962</x:v>
      </x:c>
      <x:c r="C8" s="12" t="str">
        <x:v>模拟下游1</x:v>
      </x:c>
      <x:c r="D8" s="12" t="str">
        <x:v>工业塑料周转配件</x:v>
      </x:c>
      <x:c r="E8" s="13" t="n">
        <x:v>1028160</x:v>
      </x:c>
      <x:c r="F8" s="13" t="n">
        <x:v>133661</x:v>
      </x:c>
      <x:c r="G8" s="13" t="n">
        <x:v>1161821</x:v>
      </x:c>
      <x:c r="H8" s="13" t="n">
        <x:v>1161821</x:v>
      </x:c>
      <x:c r="I8" s="13" t="n">
        <x:v>0</x:v>
      </x:c>
      <x:c r="J8" s="14" t="n">
        <x:v>44967</x:v>
      </x:c>
      <x:c r="K8" s="12" t="str">
        <x:v>KS-INJECTION-1000-S-202302-1-INV</x:v>
      </x:c>
      <x:c r="L8" s="12" t="str">
        <x:v>KS-INJECTION-1000-S-202302-1-DEL</x:v>
      </x:c>
      <x:c r="M8" s="12" t="str">
        <x:v>SYNTHETIC</x:v>
      </x:c>
    </x:row>
    <x:row r="9" ht="38" customHeight="1">
      <x:c r="A9" s="12" t="str">
        <x:v>KS-INJECTION-1000-S-202302-2</x:v>
      </x:c>
      <x:c r="B9" s="14" t="n">
        <x:v>44962</x:v>
      </x:c>
      <x:c r="C9" s="12" t="str">
        <x:v>模拟下游2</x:v>
      </x:c>
      <x:c r="D9" s="12" t="str">
        <x:v>工业塑料周转配件</x:v>
      </x:c>
      <x:c r="E9" s="13" t="n">
        <x:v>997920</x:v>
      </x:c>
      <x:c r="F9" s="13" t="n">
        <x:v>129730</x:v>
      </x:c>
      <x:c r="G9" s="13" t="n">
        <x:v>1127650</x:v>
      </x:c>
      <x:c r="H9" s="13" t="n">
        <x:v>1127650</x:v>
      </x:c>
      <x:c r="I9" s="13" t="n">
        <x:v>0</x:v>
      </x:c>
      <x:c r="J9" s="14" t="n">
        <x:v>44967</x:v>
      </x:c>
      <x:c r="K9" s="12" t="str">
        <x:v>KS-INJECTION-1000-S-202302-2-INV</x:v>
      </x:c>
      <x:c r="L9" s="12" t="str">
        <x:v>KS-INJECTION-1000-S-202302-2-DEL</x:v>
      </x:c>
      <x:c r="M9" s="12" t="str">
        <x:v>SYNTHETIC</x:v>
      </x:c>
    </x:row>
    <x:row r="10" ht="38" customHeight="1">
      <x:c r="A10" s="12" t="str">
        <x:v>KS-INJECTION-1000-S-202302-3</x:v>
      </x:c>
      <x:c r="B10" s="14" t="n">
        <x:v>44962</x:v>
      </x:c>
      <x:c r="C10" s="12" t="str">
        <x:v>模拟下游3</x:v>
      </x:c>
      <x:c r="D10" s="12" t="str">
        <x:v>工业塑料周转配件</x:v>
      </x:c>
      <x:c r="E10" s="13" t="n">
        <x:v>997920</x:v>
      </x:c>
      <x:c r="F10" s="13" t="n">
        <x:v>129729</x:v>
      </x:c>
      <x:c r="G10" s="13" t="n">
        <x:v>1127649</x:v>
      </x:c>
      <x:c r="H10" s="13" t="n">
        <x:v>1127649</x:v>
      </x:c>
      <x:c r="I10" s="13" t="n">
        <x:v>0</x:v>
      </x:c>
      <x:c r="J10" s="14" t="n">
        <x:v>44967</x:v>
      </x:c>
      <x:c r="K10" s="12" t="str">
        <x:v>KS-INJECTION-1000-S-202302-3-INV</x:v>
      </x:c>
      <x:c r="L10" s="12" t="str">
        <x:v>KS-INJECTION-1000-S-202302-3-DEL</x:v>
      </x:c>
      <x:c r="M10" s="12" t="str">
        <x:v>SYNTHETIC</x:v>
      </x:c>
    </x:row>
    <x:row r="11" ht="38" customHeight="1">
      <x:c r="A11" s="12" t="str">
        <x:v>KS-INJECTION-1000-S-202303-1</x:v>
      </x:c>
      <x:c r="B11" s="14" t="n">
        <x:v>44990</x:v>
      </x:c>
      <x:c r="C11" s="12" t="str">
        <x:v>模拟下游1</x:v>
      </x:c>
      <x:c r="D11" s="12" t="str">
        <x:v>工业塑料周转配件</x:v>
      </x:c>
      <x:c r="E11" s="13" t="n">
        <x:v>1456560</x:v>
      </x:c>
      <x:c r="F11" s="13" t="n">
        <x:v>189353</x:v>
      </x:c>
      <x:c r="G11" s="13" t="n">
        <x:v>1645913</x:v>
      </x:c>
      <x:c r="H11" s="13" t="n">
        <x:v>1645913</x:v>
      </x:c>
      <x:c r="I11" s="13" t="n">
        <x:v>0</x:v>
      </x:c>
      <x:c r="J11" s="14" t="n">
        <x:v>44995</x:v>
      </x:c>
      <x:c r="K11" s="12" t="str">
        <x:v>KS-INJECTION-1000-S-202303-1-INV</x:v>
      </x:c>
      <x:c r="L11" s="12" t="str">
        <x:v>KS-INJECTION-1000-S-202303-1-DEL</x:v>
      </x:c>
      <x:c r="M11" s="12" t="str">
        <x:v>SYNTHETIC</x:v>
      </x:c>
    </x:row>
    <x:row r="12" ht="38" customHeight="1">
      <x:c r="A12" s="12" t="str">
        <x:v>KS-INJECTION-1000-S-202303-2</x:v>
      </x:c>
      <x:c r="B12" s="14" t="n">
        <x:v>44990</x:v>
      </x:c>
      <x:c r="C12" s="12" t="str">
        <x:v>模拟下游2</x:v>
      </x:c>
      <x:c r="D12" s="12" t="str">
        <x:v>工业塑料周转配件</x:v>
      </x:c>
      <x:c r="E12" s="13" t="n">
        <x:v>1413720</x:v>
      </x:c>
      <x:c r="F12" s="13" t="n">
        <x:v>183784</x:v>
      </x:c>
      <x:c r="G12" s="13" t="n">
        <x:v>1597504</x:v>
      </x:c>
      <x:c r="H12" s="13" t="n">
        <x:v>1597504</x:v>
      </x:c>
      <x:c r="I12" s="13" t="n">
        <x:v>0</x:v>
      </x:c>
      <x:c r="J12" s="14" t="n">
        <x:v>44995</x:v>
      </x:c>
      <x:c r="K12" s="12" t="str">
        <x:v>KS-INJECTION-1000-S-202303-2-INV</x:v>
      </x:c>
      <x:c r="L12" s="12" t="str">
        <x:v>KS-INJECTION-1000-S-202303-2-DEL</x:v>
      </x:c>
      <x:c r="M12" s="12" t="str">
        <x:v>SYNTHETIC</x:v>
      </x:c>
    </x:row>
    <x:row r="13" ht="38" customHeight="1">
      <x:c r="A13" s="12" t="str">
        <x:v>KS-INJECTION-1000-S-202303-3</x:v>
      </x:c>
      <x:c r="B13" s="14" t="n">
        <x:v>44990</x:v>
      </x:c>
      <x:c r="C13" s="12" t="str">
        <x:v>模拟下游3</x:v>
      </x:c>
      <x:c r="D13" s="12" t="str">
        <x:v>工业塑料周转配件</x:v>
      </x:c>
      <x:c r="E13" s="13" t="n">
        <x:v>1413720</x:v>
      </x:c>
      <x:c r="F13" s="13" t="n">
        <x:v>183783</x:v>
      </x:c>
      <x:c r="G13" s="13" t="n">
        <x:v>1597503</x:v>
      </x:c>
      <x:c r="H13" s="13" t="n">
        <x:v>1597503</x:v>
      </x:c>
      <x:c r="I13" s="13" t="n">
        <x:v>0</x:v>
      </x:c>
      <x:c r="J13" s="14" t="n">
        <x:v>44995</x:v>
      </x:c>
      <x:c r="K13" s="12" t="str">
        <x:v>KS-INJECTION-1000-S-202303-3-INV</x:v>
      </x:c>
      <x:c r="L13" s="12" t="str">
        <x:v>KS-INJECTION-1000-S-202303-3-DEL</x:v>
      </x:c>
      <x:c r="M13" s="12" t="str">
        <x:v>SYNTHETIC</x:v>
      </x:c>
    </x:row>
    <x:row r="14" ht="38" customHeight="1">
      <x:c r="A14" s="12" t="str">
        <x:v>KS-INJECTION-1000-S-202304-1</x:v>
      </x:c>
      <x:c r="B14" s="14" t="n">
        <x:v>45021</x:v>
      </x:c>
      <x:c r="C14" s="12" t="str">
        <x:v>模拟下游1</x:v>
      </x:c>
      <x:c r="D14" s="12" t="str">
        <x:v>工业塑料周转配件</x:v>
      </x:c>
      <x:c r="E14" s="13" t="n">
        <x:v>1513680</x:v>
      </x:c>
      <x:c r="F14" s="13" t="n">
        <x:v>196778</x:v>
      </x:c>
      <x:c r="G14" s="13" t="n">
        <x:v>1710458</x:v>
      </x:c>
      <x:c r="H14" s="13" t="n">
        <x:v>1710458</x:v>
      </x:c>
      <x:c r="I14" s="13" t="n">
        <x:v>0</x:v>
      </x:c>
      <x:c r="J14" s="14" t="n">
        <x:v>45026</x:v>
      </x:c>
      <x:c r="K14" s="12" t="str">
        <x:v>KS-INJECTION-1000-S-202304-1-INV</x:v>
      </x:c>
      <x:c r="L14" s="12" t="str">
        <x:v>KS-INJECTION-1000-S-202304-1-DEL</x:v>
      </x:c>
      <x:c r="M14" s="12" t="str">
        <x:v>SYNTHETIC</x:v>
      </x:c>
    </x:row>
    <x:row r="15" ht="38" customHeight="1">
      <x:c r="A15" s="12" t="str">
        <x:v>KS-INJECTION-1000-S-202304-2</x:v>
      </x:c>
      <x:c r="B15" s="14" t="n">
        <x:v>45021</x:v>
      </x:c>
      <x:c r="C15" s="12" t="str">
        <x:v>模拟下游2</x:v>
      </x:c>
      <x:c r="D15" s="12" t="str">
        <x:v>工业塑料周转配件</x:v>
      </x:c>
      <x:c r="E15" s="13" t="n">
        <x:v>1469160</x:v>
      </x:c>
      <x:c r="F15" s="13" t="n">
        <x:v>190991</x:v>
      </x:c>
      <x:c r="G15" s="13" t="n">
        <x:v>1660151</x:v>
      </x:c>
      <x:c r="H15" s="13" t="n">
        <x:v>1660151</x:v>
      </x:c>
      <x:c r="I15" s="13" t="n">
        <x:v>0</x:v>
      </x:c>
      <x:c r="J15" s="14" t="n">
        <x:v>45026</x:v>
      </x:c>
      <x:c r="K15" s="12" t="str">
        <x:v>KS-INJECTION-1000-S-202304-2-INV</x:v>
      </x:c>
      <x:c r="L15" s="12" t="str">
        <x:v>KS-INJECTION-1000-S-202304-2-DEL</x:v>
      </x:c>
      <x:c r="M15" s="12" t="str">
        <x:v>SYNTHETIC</x:v>
      </x:c>
    </x:row>
    <x:row r="16" ht="38" customHeight="1">
      <x:c r="A16" s="12" t="str">
        <x:v>KS-INJECTION-1000-S-202304-3</x:v>
      </x:c>
      <x:c r="B16" s="14" t="n">
        <x:v>45021</x:v>
      </x:c>
      <x:c r="C16" s="12" t="str">
        <x:v>模拟下游3</x:v>
      </x:c>
      <x:c r="D16" s="12" t="str">
        <x:v>工业塑料周转配件</x:v>
      </x:c>
      <x:c r="E16" s="13" t="n">
        <x:v>1469160</x:v>
      </x:c>
      <x:c r="F16" s="13" t="n">
        <x:v>190991</x:v>
      </x:c>
      <x:c r="G16" s="13" t="n">
        <x:v>1660151</x:v>
      </x:c>
      <x:c r="H16" s="13" t="n">
        <x:v>1660151</x:v>
      </x:c>
      <x:c r="I16" s="13" t="n">
        <x:v>0</x:v>
      </x:c>
      <x:c r="J16" s="14" t="n">
        <x:v>45026</x:v>
      </x:c>
      <x:c r="K16" s="12" t="str">
        <x:v>KS-INJECTION-1000-S-202304-3-INV</x:v>
      </x:c>
      <x:c r="L16" s="12" t="str">
        <x:v>KS-INJECTION-1000-S-202304-3-DEL</x:v>
      </x:c>
      <x:c r="M16" s="12" t="str">
        <x:v>SYNTHETIC</x:v>
      </x:c>
    </x:row>
    <x:row r="17" ht="38" customHeight="1">
      <x:c r="A17" s="12" t="str">
        <x:v>KS-INJECTION-1000-S-202305-1</x:v>
      </x:c>
      <x:c r="B17" s="14" t="n">
        <x:v>45051</x:v>
      </x:c>
      <x:c r="C17" s="12" t="str">
        <x:v>模拟下游1</x:v>
      </x:c>
      <x:c r="D17" s="12" t="str">
        <x:v>工业塑料周转配件</x:v>
      </x:c>
      <x:c r="E17" s="13" t="n">
        <x:v>1570800</x:v>
      </x:c>
      <x:c r="F17" s="13" t="n">
        <x:v>204204</x:v>
      </x:c>
      <x:c r="G17" s="13" t="n">
        <x:v>1775004</x:v>
      </x:c>
      <x:c r="H17" s="13" t="n">
        <x:v>1775004</x:v>
      </x:c>
      <x:c r="I17" s="13" t="n">
        <x:v>0</x:v>
      </x:c>
      <x:c r="J17" s="14" t="n">
        <x:v>45056</x:v>
      </x:c>
      <x:c r="K17" s="12" t="str">
        <x:v>KS-INJECTION-1000-S-202305-1-INV</x:v>
      </x:c>
      <x:c r="L17" s="12" t="str">
        <x:v>KS-INJECTION-1000-S-202305-1-DEL</x:v>
      </x:c>
      <x:c r="M17" s="12" t="str">
        <x:v>SYNTHETIC</x:v>
      </x:c>
    </x:row>
    <x:row r="18" ht="38" customHeight="1">
      <x:c r="A18" s="12" t="str">
        <x:v>KS-INJECTION-1000-S-202305-2</x:v>
      </x:c>
      <x:c r="B18" s="14" t="n">
        <x:v>45051</x:v>
      </x:c>
      <x:c r="C18" s="12" t="str">
        <x:v>模拟下游2</x:v>
      </x:c>
      <x:c r="D18" s="12" t="str">
        <x:v>工业塑料周转配件</x:v>
      </x:c>
      <x:c r="E18" s="13" t="n">
        <x:v>1524600</x:v>
      </x:c>
      <x:c r="F18" s="13" t="n">
        <x:v>198198</x:v>
      </x:c>
      <x:c r="G18" s="13" t="n">
        <x:v>1722798</x:v>
      </x:c>
      <x:c r="H18" s="13" t="n">
        <x:v>1722798</x:v>
      </x:c>
      <x:c r="I18" s="13" t="n">
        <x:v>0</x:v>
      </x:c>
      <x:c r="J18" s="14" t="n">
        <x:v>45056</x:v>
      </x:c>
      <x:c r="K18" s="12" t="str">
        <x:v>KS-INJECTION-1000-S-202305-2-INV</x:v>
      </x:c>
      <x:c r="L18" s="12" t="str">
        <x:v>KS-INJECTION-1000-S-202305-2-DEL</x:v>
      </x:c>
      <x:c r="M18" s="12" t="str">
        <x:v>SYNTHETIC</x:v>
      </x:c>
    </x:row>
    <x:row r="19" ht="38" customHeight="1">
      <x:c r="A19" s="12" t="str">
        <x:v>KS-INJECTION-1000-S-202305-3</x:v>
      </x:c>
      <x:c r="B19" s="14" t="n">
        <x:v>45051</x:v>
      </x:c>
      <x:c r="C19" s="12" t="str">
        <x:v>模拟下游3</x:v>
      </x:c>
      <x:c r="D19" s="12" t="str">
        <x:v>工业塑料周转配件</x:v>
      </x:c>
      <x:c r="E19" s="13" t="n">
        <x:v>1524600</x:v>
      </x:c>
      <x:c r="F19" s="13" t="n">
        <x:v>198198</x:v>
      </x:c>
      <x:c r="G19" s="13" t="n">
        <x:v>1722798</x:v>
      </x:c>
      <x:c r="H19" s="13" t="n">
        <x:v>1722798</x:v>
      </x:c>
      <x:c r="I19" s="13" t="n">
        <x:v>0</x:v>
      </x:c>
      <x:c r="J19" s="14" t="n">
        <x:v>45056</x:v>
      </x:c>
      <x:c r="K19" s="12" t="str">
        <x:v>KS-INJECTION-1000-S-202305-3-INV</x:v>
      </x:c>
      <x:c r="L19" s="12" t="str">
        <x:v>KS-INJECTION-1000-S-202305-3-DEL</x:v>
      </x:c>
      <x:c r="M19" s="12" t="str">
        <x:v>SYNTHETIC</x:v>
      </x:c>
    </x:row>
    <x:row r="20" ht="38" customHeight="1">
      <x:c r="A20" s="12" t="str">
        <x:v>KS-INJECTION-1000-S-202306-1</x:v>
      </x:c>
      <x:c r="B20" s="14" t="n">
        <x:v>45082</x:v>
      </x:c>
      <x:c r="C20" s="12" t="str">
        <x:v>模拟下游1</x:v>
      </x:c>
      <x:c r="D20" s="12" t="str">
        <x:v>工业塑料周转配件</x:v>
      </x:c>
      <x:c r="E20" s="13" t="n">
        <x:v>1499400</x:v>
      </x:c>
      <x:c r="F20" s="13" t="n">
        <x:v>194922</x:v>
      </x:c>
      <x:c r="G20" s="13" t="n">
        <x:v>1694322</x:v>
      </x:c>
      <x:c r="H20" s="13" t="n">
        <x:v>1694322</x:v>
      </x:c>
      <x:c r="I20" s="13" t="n">
        <x:v>0</x:v>
      </x:c>
      <x:c r="J20" s="14" t="n">
        <x:v>45087</x:v>
      </x:c>
      <x:c r="K20" s="12" t="str">
        <x:v>KS-INJECTION-1000-S-202306-1-INV</x:v>
      </x:c>
      <x:c r="L20" s="12" t="str">
        <x:v>KS-INJECTION-1000-S-202306-1-DEL</x:v>
      </x:c>
      <x:c r="M20" s="12" t="str">
        <x:v>SYNTHETIC</x:v>
      </x:c>
    </x:row>
    <x:row r="21" ht="38" customHeight="1">
      <x:c r="A21" s="12" t="str">
        <x:v>KS-INJECTION-1000-S-202306-2</x:v>
      </x:c>
      <x:c r="B21" s="14" t="n">
        <x:v>45082</x:v>
      </x:c>
      <x:c r="C21" s="12" t="str">
        <x:v>模拟下游2</x:v>
      </x:c>
      <x:c r="D21" s="12" t="str">
        <x:v>工业塑料周转配件</x:v>
      </x:c>
      <x:c r="E21" s="13" t="n">
        <x:v>1455300</x:v>
      </x:c>
      <x:c r="F21" s="13" t="n">
        <x:v>189189</x:v>
      </x:c>
      <x:c r="G21" s="13" t="n">
        <x:v>1644489</x:v>
      </x:c>
      <x:c r="H21" s="13" t="n">
        <x:v>1644489</x:v>
      </x:c>
      <x:c r="I21" s="13" t="n">
        <x:v>0</x:v>
      </x:c>
      <x:c r="J21" s="14" t="n">
        <x:v>45087</x:v>
      </x:c>
      <x:c r="K21" s="12" t="str">
        <x:v>KS-INJECTION-1000-S-202306-2-INV</x:v>
      </x:c>
      <x:c r="L21" s="12" t="str">
        <x:v>KS-INJECTION-1000-S-202306-2-DEL</x:v>
      </x:c>
      <x:c r="M21" s="12" t="str">
        <x:v>SYNTHETIC</x:v>
      </x:c>
    </x:row>
    <x:row r="22" ht="38" customHeight="1">
      <x:c r="A22" s="12" t="str">
        <x:v>KS-INJECTION-1000-S-202306-3</x:v>
      </x:c>
      <x:c r="B22" s="14" t="n">
        <x:v>45082</x:v>
      </x:c>
      <x:c r="C22" s="12" t="str">
        <x:v>模拟下游3</x:v>
      </x:c>
      <x:c r="D22" s="12" t="str">
        <x:v>工业塑料周转配件</x:v>
      </x:c>
      <x:c r="E22" s="13" t="n">
        <x:v>1455300</x:v>
      </x:c>
      <x:c r="F22" s="13" t="n">
        <x:v>189189</x:v>
      </x:c>
      <x:c r="G22" s="13" t="n">
        <x:v>1644489</x:v>
      </x:c>
      <x:c r="H22" s="13" t="n">
        <x:v>1644489</x:v>
      </x:c>
      <x:c r="I22" s="13" t="n">
        <x:v>0</x:v>
      </x:c>
      <x:c r="J22" s="14" t="n">
        <x:v>45087</x:v>
      </x:c>
      <x:c r="K22" s="12" t="str">
        <x:v>KS-INJECTION-1000-S-202306-3-INV</x:v>
      </x:c>
      <x:c r="L22" s="12" t="str">
        <x:v>KS-INJECTION-1000-S-202306-3-DEL</x:v>
      </x:c>
      <x:c r="M22" s="12" t="str">
        <x:v>SYNTHETIC</x:v>
      </x:c>
    </x:row>
    <x:row r="23" ht="38" customHeight="1">
      <x:c r="A23" s="12" t="str">
        <x:v>KS-INJECTION-1000-S-202307-1</x:v>
      </x:c>
      <x:c r="B23" s="14" t="n">
        <x:v>45112</x:v>
      </x:c>
      <x:c r="C23" s="12" t="str">
        <x:v>模拟下游1</x:v>
      </x:c>
      <x:c r="D23" s="12" t="str">
        <x:v>工业塑料周转配件</x:v>
      </x:c>
      <x:c r="E23" s="13" t="n">
        <x:v>1542240</x:v>
      </x:c>
      <x:c r="F23" s="13" t="n">
        <x:v>200491</x:v>
      </x:c>
      <x:c r="G23" s="13" t="n">
        <x:v>1742731</x:v>
      </x:c>
      <x:c r="H23" s="13" t="n">
        <x:v>1742731</x:v>
      </x:c>
      <x:c r="I23" s="13" t="n">
        <x:v>0</x:v>
      </x:c>
      <x:c r="J23" s="14" t="n">
        <x:v>45117</x:v>
      </x:c>
      <x:c r="K23" s="12" t="str">
        <x:v>KS-INJECTION-1000-S-202307-1-INV</x:v>
      </x:c>
      <x:c r="L23" s="12" t="str">
        <x:v>KS-INJECTION-1000-S-202307-1-DEL</x:v>
      </x:c>
      <x:c r="M23" s="12" t="str">
        <x:v>SYNTHETIC</x:v>
      </x:c>
    </x:row>
    <x:row r="24" ht="38" customHeight="1">
      <x:c r="A24" s="12" t="str">
        <x:v>KS-INJECTION-1000-S-202307-2</x:v>
      </x:c>
      <x:c r="B24" s="14" t="n">
        <x:v>45112</x:v>
      </x:c>
      <x:c r="C24" s="12" t="str">
        <x:v>模拟下游2</x:v>
      </x:c>
      <x:c r="D24" s="12" t="str">
        <x:v>工业塑料周转配件</x:v>
      </x:c>
      <x:c r="E24" s="13" t="n">
        <x:v>1496880</x:v>
      </x:c>
      <x:c r="F24" s="13" t="n">
        <x:v>194594</x:v>
      </x:c>
      <x:c r="G24" s="13" t="n">
        <x:v>1691474</x:v>
      </x:c>
      <x:c r="H24" s="13" t="n">
        <x:v>1691474</x:v>
      </x:c>
      <x:c r="I24" s="13" t="n">
        <x:v>0</x:v>
      </x:c>
      <x:c r="J24" s="14" t="n">
        <x:v>45117</x:v>
      </x:c>
      <x:c r="K24" s="12" t="str">
        <x:v>KS-INJECTION-1000-S-202307-2-INV</x:v>
      </x:c>
      <x:c r="L24" s="12" t="str">
        <x:v>KS-INJECTION-1000-S-202307-2-DEL</x:v>
      </x:c>
      <x:c r="M24" s="12" t="str">
        <x:v>SYNTHETIC</x:v>
      </x:c>
    </x:row>
    <x:row r="25" ht="38" customHeight="1">
      <x:c r="A25" s="12" t="str">
        <x:v>KS-INJECTION-1000-S-202307-3</x:v>
      </x:c>
      <x:c r="B25" s="14" t="n">
        <x:v>45112</x:v>
      </x:c>
      <x:c r="C25" s="12" t="str">
        <x:v>模拟下游3</x:v>
      </x:c>
      <x:c r="D25" s="12" t="str">
        <x:v>工业塑料周转配件</x:v>
      </x:c>
      <x:c r="E25" s="13" t="n">
        <x:v>1496880</x:v>
      </x:c>
      <x:c r="F25" s="13" t="n">
        <x:v>194595</x:v>
      </x:c>
      <x:c r="G25" s="13" t="n">
        <x:v>1691475</x:v>
      </x:c>
      <x:c r="H25" s="13" t="n">
        <x:v>1691475</x:v>
      </x:c>
      <x:c r="I25" s="13" t="n">
        <x:v>0</x:v>
      </x:c>
      <x:c r="J25" s="14" t="n">
        <x:v>45117</x:v>
      </x:c>
      <x:c r="K25" s="12" t="str">
        <x:v>KS-INJECTION-1000-S-202307-3-INV</x:v>
      </x:c>
      <x:c r="L25" s="12" t="str">
        <x:v>KS-INJECTION-1000-S-202307-3-DEL</x:v>
      </x:c>
      <x:c r="M25" s="12" t="str">
        <x:v>SYNTHETIC</x:v>
      </x:c>
    </x:row>
    <x:row r="26" ht="38" customHeight="1">
      <x:c r="A26" s="12" t="str">
        <x:v>KS-INJECTION-1000-S-202308-1</x:v>
      </x:c>
      <x:c r="B26" s="14" t="n">
        <x:v>45143</x:v>
      </x:c>
      <x:c r="C26" s="12" t="str">
        <x:v>模拟下游1</x:v>
      </x:c>
      <x:c r="D26" s="12" t="str">
        <x:v>工业塑料周转配件</x:v>
      </x:c>
      <x:c r="E26" s="13" t="n">
        <x:v>1542240</x:v>
      </x:c>
      <x:c r="F26" s="13" t="n">
        <x:v>200491</x:v>
      </x:c>
      <x:c r="G26" s="13" t="n">
        <x:v>1742731</x:v>
      </x:c>
      <x:c r="H26" s="13" t="n">
        <x:v>1742731</x:v>
      </x:c>
      <x:c r="I26" s="13" t="n">
        <x:v>0</x:v>
      </x:c>
      <x:c r="J26" s="14" t="n">
        <x:v>45148</x:v>
      </x:c>
      <x:c r="K26" s="12" t="str">
        <x:v>KS-INJECTION-1000-S-202308-1-INV</x:v>
      </x:c>
      <x:c r="L26" s="12" t="str">
        <x:v>KS-INJECTION-1000-S-202308-1-DEL</x:v>
      </x:c>
      <x:c r="M26" s="12" t="str">
        <x:v>SYNTHETIC</x:v>
      </x:c>
    </x:row>
    <x:row r="27" ht="38" customHeight="1">
      <x:c r="A27" s="12" t="str">
        <x:v>KS-INJECTION-1000-S-202308-2</x:v>
      </x:c>
      <x:c r="B27" s="14" t="n">
        <x:v>45143</x:v>
      </x:c>
      <x:c r="C27" s="12" t="str">
        <x:v>模拟下游2</x:v>
      </x:c>
      <x:c r="D27" s="12" t="str">
        <x:v>工业塑料周转配件</x:v>
      </x:c>
      <x:c r="E27" s="13" t="n">
        <x:v>1496880</x:v>
      </x:c>
      <x:c r="F27" s="13" t="n">
        <x:v>194594</x:v>
      </x:c>
      <x:c r="G27" s="13" t="n">
        <x:v>1691474</x:v>
      </x:c>
      <x:c r="H27" s="13" t="n">
        <x:v>1691474</x:v>
      </x:c>
      <x:c r="I27" s="13" t="n">
        <x:v>0</x:v>
      </x:c>
      <x:c r="J27" s="14" t="n">
        <x:v>45148</x:v>
      </x:c>
      <x:c r="K27" s="12" t="str">
        <x:v>KS-INJECTION-1000-S-202308-2-INV</x:v>
      </x:c>
      <x:c r="L27" s="12" t="str">
        <x:v>KS-INJECTION-1000-S-202308-2-DEL</x:v>
      </x:c>
      <x:c r="M27" s="12" t="str">
        <x:v>SYNTHETIC</x:v>
      </x:c>
    </x:row>
    <x:row r="28" ht="38" customHeight="1">
      <x:c r="A28" s="12" t="str">
        <x:v>KS-INJECTION-1000-S-202308-3</x:v>
      </x:c>
      <x:c r="B28" s="14" t="n">
        <x:v>45143</x:v>
      </x:c>
      <x:c r="C28" s="12" t="str">
        <x:v>模拟下游3</x:v>
      </x:c>
      <x:c r="D28" s="12" t="str">
        <x:v>工业塑料周转配件</x:v>
      </x:c>
      <x:c r="E28" s="13" t="n">
        <x:v>1496880</x:v>
      </x:c>
      <x:c r="F28" s="13" t="n">
        <x:v>194595</x:v>
      </x:c>
      <x:c r="G28" s="13" t="n">
        <x:v>1691475</x:v>
      </x:c>
      <x:c r="H28" s="13" t="n">
        <x:v>1691475</x:v>
      </x:c>
      <x:c r="I28" s="13" t="n">
        <x:v>0</x:v>
      </x:c>
      <x:c r="J28" s="14" t="n">
        <x:v>45148</x:v>
      </x:c>
      <x:c r="K28" s="12" t="str">
        <x:v>KS-INJECTION-1000-S-202308-3-INV</x:v>
      </x:c>
      <x:c r="L28" s="12" t="str">
        <x:v>KS-INJECTION-1000-S-202308-3-DEL</x:v>
      </x:c>
      <x:c r="M28" s="12" t="str">
        <x:v>SYNTHETIC</x:v>
      </x:c>
    </x:row>
    <x:row r="29" ht="38" customHeight="1">
      <x:c r="A29" s="12" t="str">
        <x:v>KS-INJECTION-1000-S-202309-1</x:v>
      </x:c>
      <x:c r="B29" s="14" t="n">
        <x:v>45174</x:v>
      </x:c>
      <x:c r="C29" s="12" t="str">
        <x:v>模拟下游1</x:v>
      </x:c>
      <x:c r="D29" s="12" t="str">
        <x:v>工业塑料周转配件</x:v>
      </x:c>
      <x:c r="E29" s="13" t="n">
        <x:v>1485120</x:v>
      </x:c>
      <x:c r="F29" s="13" t="n">
        <x:v>193066</x:v>
      </x:c>
      <x:c r="G29" s="13" t="n">
        <x:v>1678186</x:v>
      </x:c>
      <x:c r="H29" s="13" t="n">
        <x:v>1678186</x:v>
      </x:c>
      <x:c r="I29" s="13" t="n">
        <x:v>0</x:v>
      </x:c>
      <x:c r="J29" s="14" t="n">
        <x:v>45179</x:v>
      </x:c>
      <x:c r="K29" s="12" t="str">
        <x:v>KS-INJECTION-1000-S-202309-1-INV</x:v>
      </x:c>
      <x:c r="L29" s="12" t="str">
        <x:v>KS-INJECTION-1000-S-202309-1-DEL</x:v>
      </x:c>
      <x:c r="M29" s="12" t="str">
        <x:v>SYNTHETIC</x:v>
      </x:c>
    </x:row>
    <x:row r="30" ht="38" customHeight="1">
      <x:c r="A30" s="12" t="str">
        <x:v>KS-INJECTION-1000-S-202309-2</x:v>
      </x:c>
      <x:c r="B30" s="14" t="n">
        <x:v>45174</x:v>
      </x:c>
      <x:c r="C30" s="12" t="str">
        <x:v>模拟下游2</x:v>
      </x:c>
      <x:c r="D30" s="12" t="str">
        <x:v>工业塑料周转配件</x:v>
      </x:c>
      <x:c r="E30" s="13" t="n">
        <x:v>1441440</x:v>
      </x:c>
      <x:c r="F30" s="13" t="n">
        <x:v>187387</x:v>
      </x:c>
      <x:c r="G30" s="13" t="n">
        <x:v>1628827</x:v>
      </x:c>
      <x:c r="H30" s="13" t="n">
        <x:v>1628827</x:v>
      </x:c>
      <x:c r="I30" s="13" t="n">
        <x:v>0</x:v>
      </x:c>
      <x:c r="J30" s="14" t="n">
        <x:v>45179</x:v>
      </x:c>
      <x:c r="K30" s="12" t="str">
        <x:v>KS-INJECTION-1000-S-202309-2-INV</x:v>
      </x:c>
      <x:c r="L30" s="12" t="str">
        <x:v>KS-INJECTION-1000-S-202309-2-DEL</x:v>
      </x:c>
      <x:c r="M30" s="12" t="str">
        <x:v>SYNTHETIC</x:v>
      </x:c>
    </x:row>
    <x:row r="31" ht="38" customHeight="1">
      <x:c r="A31" s="12" t="str">
        <x:v>KS-INJECTION-1000-S-202309-3</x:v>
      </x:c>
      <x:c r="B31" s="14" t="n">
        <x:v>45174</x:v>
      </x:c>
      <x:c r="C31" s="12" t="str">
        <x:v>模拟下游3</x:v>
      </x:c>
      <x:c r="D31" s="12" t="str">
        <x:v>工业塑料周转配件</x:v>
      </x:c>
      <x:c r="E31" s="13" t="n">
        <x:v>1441440</x:v>
      </x:c>
      <x:c r="F31" s="13" t="n">
        <x:v>187387</x:v>
      </x:c>
      <x:c r="G31" s="13" t="n">
        <x:v>1628827</x:v>
      </x:c>
      <x:c r="H31" s="13" t="n">
        <x:v>1628827</x:v>
      </x:c>
      <x:c r="I31" s="13" t="n">
        <x:v>0</x:v>
      </x:c>
      <x:c r="J31" s="14" t="n">
        <x:v>45179</x:v>
      </x:c>
      <x:c r="K31" s="12" t="str">
        <x:v>KS-INJECTION-1000-S-202309-3-INV</x:v>
      </x:c>
      <x:c r="L31" s="12" t="str">
        <x:v>KS-INJECTION-1000-S-202309-3-DEL</x:v>
      </x:c>
      <x:c r="M31" s="12" t="str">
        <x:v>SYNTHETIC</x:v>
      </x:c>
    </x:row>
    <x:row r="32" ht="38" customHeight="1">
      <x:c r="A32" s="12" t="str">
        <x:v>KS-INJECTION-1000-S-202310-1</x:v>
      </x:c>
      <x:c r="B32" s="14" t="n">
        <x:v>45204</x:v>
      </x:c>
      <x:c r="C32" s="12" t="str">
        <x:v>模拟下游1</x:v>
      </x:c>
      <x:c r="D32" s="12" t="str">
        <x:v>工业塑料周转配件</x:v>
      </x:c>
      <x:c r="E32" s="13" t="n">
        <x:v>1456560</x:v>
      </x:c>
      <x:c r="F32" s="13" t="n">
        <x:v>189353</x:v>
      </x:c>
      <x:c r="G32" s="13" t="n">
        <x:v>1645913</x:v>
      </x:c>
      <x:c r="H32" s="13" t="n">
        <x:v>1645913</x:v>
      </x:c>
      <x:c r="I32" s="13" t="n">
        <x:v>0</x:v>
      </x:c>
      <x:c r="J32" s="14" t="n">
        <x:v>45209</x:v>
      </x:c>
      <x:c r="K32" s="12" t="str">
        <x:v>KS-INJECTION-1000-S-202310-1-INV</x:v>
      </x:c>
      <x:c r="L32" s="12" t="str">
        <x:v>KS-INJECTION-1000-S-202310-1-DEL</x:v>
      </x:c>
      <x:c r="M32" s="12" t="str">
        <x:v>SYNTHETIC</x:v>
      </x:c>
    </x:row>
    <x:row r="33" ht="38" customHeight="1">
      <x:c r="A33" s="12" t="str">
        <x:v>KS-INJECTION-1000-S-202310-2</x:v>
      </x:c>
      <x:c r="B33" s="14" t="n">
        <x:v>45204</x:v>
      </x:c>
      <x:c r="C33" s="12" t="str">
        <x:v>模拟下游2</x:v>
      </x:c>
      <x:c r="D33" s="12" t="str">
        <x:v>工业塑料周转配件</x:v>
      </x:c>
      <x:c r="E33" s="13" t="n">
        <x:v>1413720</x:v>
      </x:c>
      <x:c r="F33" s="13" t="n">
        <x:v>183784</x:v>
      </x:c>
      <x:c r="G33" s="13" t="n">
        <x:v>1597504</x:v>
      </x:c>
      <x:c r="H33" s="13" t="n">
        <x:v>1597504</x:v>
      </x:c>
      <x:c r="I33" s="13" t="n">
        <x:v>0</x:v>
      </x:c>
      <x:c r="J33" s="14" t="n">
        <x:v>45209</x:v>
      </x:c>
      <x:c r="K33" s="12" t="str">
        <x:v>KS-INJECTION-1000-S-202310-2-INV</x:v>
      </x:c>
      <x:c r="L33" s="12" t="str">
        <x:v>KS-INJECTION-1000-S-202310-2-DEL</x:v>
      </x:c>
      <x:c r="M33" s="12" t="str">
        <x:v>SYNTHETIC</x:v>
      </x:c>
    </x:row>
    <x:row r="34" ht="38" customHeight="1">
      <x:c r="A34" s="12" t="str">
        <x:v>KS-INJECTION-1000-S-202310-3</x:v>
      </x:c>
      <x:c r="B34" s="14" t="n">
        <x:v>45204</x:v>
      </x:c>
      <x:c r="C34" s="12" t="str">
        <x:v>模拟下游3</x:v>
      </x:c>
      <x:c r="D34" s="12" t="str">
        <x:v>工业塑料周转配件</x:v>
      </x:c>
      <x:c r="E34" s="13" t="n">
        <x:v>1413720</x:v>
      </x:c>
      <x:c r="F34" s="13" t="n">
        <x:v>183783</x:v>
      </x:c>
      <x:c r="G34" s="13" t="n">
        <x:v>1597503</x:v>
      </x:c>
      <x:c r="H34" s="13" t="n">
        <x:v>1597503</x:v>
      </x:c>
      <x:c r="I34" s="13" t="n">
        <x:v>0</x:v>
      </x:c>
      <x:c r="J34" s="14" t="n">
        <x:v>45209</x:v>
      </x:c>
      <x:c r="K34" s="12" t="str">
        <x:v>KS-INJECTION-1000-S-202310-3-INV</x:v>
      </x:c>
      <x:c r="L34" s="12" t="str">
        <x:v>KS-INJECTION-1000-S-202310-3-DEL</x:v>
      </x:c>
      <x:c r="M34" s="12" t="str">
        <x:v>SYNTHETIC</x:v>
      </x:c>
    </x:row>
    <x:row r="35" ht="38" customHeight="1">
      <x:c r="A35" s="12" t="str">
        <x:v>KS-INJECTION-1000-S-202311-1</x:v>
      </x:c>
      <x:c r="B35" s="14" t="n">
        <x:v>45235</x:v>
      </x:c>
      <x:c r="C35" s="12" t="str">
        <x:v>模拟下游1</x:v>
      </x:c>
      <x:c r="D35" s="12" t="str">
        <x:v>工业塑料周转配件</x:v>
      </x:c>
      <x:c r="E35" s="13" t="n">
        <x:v>1513680</x:v>
      </x:c>
      <x:c r="F35" s="13" t="n">
        <x:v>196778</x:v>
      </x:c>
      <x:c r="G35" s="13" t="n">
        <x:v>1710458</x:v>
      </x:c>
      <x:c r="H35" s="13" t="n">
        <x:v>1710458</x:v>
      </x:c>
      <x:c r="I35" s="13" t="n">
        <x:v>0</x:v>
      </x:c>
      <x:c r="J35" s="14" t="n">
        <x:v>45240</x:v>
      </x:c>
      <x:c r="K35" s="12" t="str">
        <x:v>KS-INJECTION-1000-S-202311-1-INV</x:v>
      </x:c>
      <x:c r="L35" s="12" t="str">
        <x:v>KS-INJECTION-1000-S-202311-1-DEL</x:v>
      </x:c>
      <x:c r="M35" s="12" t="str">
        <x:v>SYNTHETIC</x:v>
      </x:c>
    </x:row>
    <x:row r="36" ht="38" customHeight="1">
      <x:c r="A36" s="12" t="str">
        <x:v>KS-INJECTION-1000-S-202311-2</x:v>
      </x:c>
      <x:c r="B36" s="14" t="n">
        <x:v>45235</x:v>
      </x:c>
      <x:c r="C36" s="12" t="str">
        <x:v>模拟下游2</x:v>
      </x:c>
      <x:c r="D36" s="12" t="str">
        <x:v>工业塑料周转配件</x:v>
      </x:c>
      <x:c r="E36" s="13" t="n">
        <x:v>1469160</x:v>
      </x:c>
      <x:c r="F36" s="13" t="n">
        <x:v>190991</x:v>
      </x:c>
      <x:c r="G36" s="13" t="n">
        <x:v>1660151</x:v>
      </x:c>
      <x:c r="H36" s="13" t="n">
        <x:v>1660151</x:v>
      </x:c>
      <x:c r="I36" s="13" t="n">
        <x:v>0</x:v>
      </x:c>
      <x:c r="J36" s="14" t="n">
        <x:v>45240</x:v>
      </x:c>
      <x:c r="K36" s="12" t="str">
        <x:v>KS-INJECTION-1000-S-202311-2-INV</x:v>
      </x:c>
      <x:c r="L36" s="12" t="str">
        <x:v>KS-INJECTION-1000-S-202311-2-DEL</x:v>
      </x:c>
      <x:c r="M36" s="12" t="str">
        <x:v>SYNTHETIC</x:v>
      </x:c>
    </x:row>
    <x:row r="37" ht="38" customHeight="1">
      <x:c r="A37" s="12" t="str">
        <x:v>KS-INJECTION-1000-S-202311-3</x:v>
      </x:c>
      <x:c r="B37" s="14" t="n">
        <x:v>45235</x:v>
      </x:c>
      <x:c r="C37" s="12" t="str">
        <x:v>模拟下游3</x:v>
      </x:c>
      <x:c r="D37" s="12" t="str">
        <x:v>工业塑料周转配件</x:v>
      </x:c>
      <x:c r="E37" s="13" t="n">
        <x:v>1469160</x:v>
      </x:c>
      <x:c r="F37" s="13" t="n">
        <x:v>190991</x:v>
      </x:c>
      <x:c r="G37" s="13" t="n">
        <x:v>1660151</x:v>
      </x:c>
      <x:c r="H37" s="13" t="n">
        <x:v>1660151</x:v>
      </x:c>
      <x:c r="I37" s="13" t="n">
        <x:v>0</x:v>
      </x:c>
      <x:c r="J37" s="14" t="n">
        <x:v>45240</x:v>
      </x:c>
      <x:c r="K37" s="12" t="str">
        <x:v>KS-INJECTION-1000-S-202311-3-INV</x:v>
      </x:c>
      <x:c r="L37" s="12" t="str">
        <x:v>KS-INJECTION-1000-S-202311-3-DEL</x:v>
      </x:c>
      <x:c r="M37" s="12" t="str">
        <x:v>SYNTHETIC</x:v>
      </x:c>
    </x:row>
    <x:row r="38" ht="38" customHeight="1">
      <x:c r="A38" s="12" t="str">
        <x:v>KS-INJECTION-1000-S-202312-1</x:v>
      </x:c>
      <x:c r="B38" s="14" t="n">
        <x:v>45265</x:v>
      </x:c>
      <x:c r="C38" s="12" t="str">
        <x:v>模拟下游1</x:v>
      </x:c>
      <x:c r="D38" s="12" t="str">
        <x:v>工业塑料周转配件</x:v>
      </x:c>
      <x:c r="E38" s="13" t="n">
        <x:v>1570800</x:v>
      </x:c>
      <x:c r="F38" s="13" t="n">
        <x:v>204204</x:v>
      </x:c>
      <x:c r="G38" s="13" t="n">
        <x:v>1775004</x:v>
      </x:c>
      <x:c r="H38" s="13" t="n">
        <x:v>1775004</x:v>
      </x:c>
      <x:c r="I38" s="13" t="n">
        <x:v>0</x:v>
      </x:c>
      <x:c r="J38" s="14" t="n">
        <x:v>45270</x:v>
      </x:c>
      <x:c r="K38" s="12" t="str">
        <x:v>KS-INJECTION-1000-S-202312-1-INV</x:v>
      </x:c>
      <x:c r="L38" s="12" t="str">
        <x:v>KS-INJECTION-1000-S-202312-1-DEL</x:v>
      </x:c>
      <x:c r="M38" s="12" t="str">
        <x:v>SYNTHETIC</x:v>
      </x:c>
    </x:row>
    <x:row r="39" ht="38" customHeight="1">
      <x:c r="A39" s="12" t="str">
        <x:v>KS-INJECTION-1000-S-202312-2</x:v>
      </x:c>
      <x:c r="B39" s="14" t="n">
        <x:v>45265</x:v>
      </x:c>
      <x:c r="C39" s="12" t="str">
        <x:v>模拟下游2</x:v>
      </x:c>
      <x:c r="D39" s="12" t="str">
        <x:v>工业塑料周转配件</x:v>
      </x:c>
      <x:c r="E39" s="13" t="n">
        <x:v>1524600</x:v>
      </x:c>
      <x:c r="F39" s="13" t="n">
        <x:v>198198</x:v>
      </x:c>
      <x:c r="G39" s="13" t="n">
        <x:v>1722798</x:v>
      </x:c>
      <x:c r="H39" s="13" t="n">
        <x:v>1722798</x:v>
      </x:c>
      <x:c r="I39" s="13" t="n">
        <x:v>0</x:v>
      </x:c>
      <x:c r="J39" s="14" t="n">
        <x:v>45270</x:v>
      </x:c>
      <x:c r="K39" s="12" t="str">
        <x:v>KS-INJECTION-1000-S-202312-2-INV</x:v>
      </x:c>
      <x:c r="L39" s="12" t="str">
        <x:v>KS-INJECTION-1000-S-202312-2-DEL</x:v>
      </x:c>
      <x:c r="M39" s="12" t="str">
        <x:v>SYNTHETIC</x:v>
      </x:c>
    </x:row>
    <x:row r="40" ht="38" customHeight="1">
      <x:c r="A40" s="12" t="str">
        <x:v>KS-INJECTION-1000-S-202312-3</x:v>
      </x:c>
      <x:c r="B40" s="14" t="n">
        <x:v>45265</x:v>
      </x:c>
      <x:c r="C40" s="12" t="str">
        <x:v>模拟下游3</x:v>
      </x:c>
      <x:c r="D40" s="12" t="str">
        <x:v>工业塑料周转配件</x:v>
      </x:c>
      <x:c r="E40" s="13" t="n">
        <x:v>1524600</x:v>
      </x:c>
      <x:c r="F40" s="13" t="n">
        <x:v>198198</x:v>
      </x:c>
      <x:c r="G40" s="13" t="n">
        <x:v>1722798</x:v>
      </x:c>
      <x:c r="H40" s="13" t="n">
        <x:v>1722798</x:v>
      </x:c>
      <x:c r="I40" s="13" t="n">
        <x:v>0</x:v>
      </x:c>
      <x:c r="J40" s="14" t="n">
        <x:v>45270</x:v>
      </x:c>
      <x:c r="K40" s="12" t="str">
        <x:v>KS-INJECTION-1000-S-202312-3-INV</x:v>
      </x:c>
      <x:c r="L40" s="12" t="str">
        <x:v>KS-INJECTION-1000-S-202312-3-DEL</x:v>
      </x:c>
      <x:c r="M40" s="12" t="str">
        <x:v>SYNTHETIC</x:v>
      </x:c>
    </x:row>
    <x:row r="41" ht="38" customHeight="1">
      <x:c r="A41" s="12" t="str">
        <x:v>KS-INJECTION-1000-S-202401-1</x:v>
      </x:c>
      <x:c r="B41" s="14" t="n">
        <x:v>45296</x:v>
      </x:c>
      <x:c r="C41" s="12" t="str">
        <x:v>模拟下游1</x:v>
      </x:c>
      <x:c r="D41" s="12" t="str">
        <x:v>工业塑料周转配件</x:v>
      </x:c>
      <x:c r="E41" s="13" t="n">
        <x:v>1233792</x:v>
      </x:c>
      <x:c r="F41" s="13" t="n">
        <x:v>160393</x:v>
      </x:c>
      <x:c r="G41" s="13" t="n">
        <x:v>1394185</x:v>
      </x:c>
      <x:c r="H41" s="13" t="n">
        <x:v>1394185</x:v>
      </x:c>
      <x:c r="I41" s="13" t="n">
        <x:v>0</x:v>
      </x:c>
      <x:c r="J41" s="14" t="n">
        <x:v>45301</x:v>
      </x:c>
      <x:c r="K41" s="12" t="str">
        <x:v>KS-INJECTION-1000-S-202401-1-INV</x:v>
      </x:c>
      <x:c r="L41" s="12" t="str">
        <x:v>KS-INJECTION-1000-S-202401-1-DEL</x:v>
      </x:c>
      <x:c r="M41" s="12" t="str">
        <x:v>SYNTHETIC</x:v>
      </x:c>
    </x:row>
    <x:row r="42" ht="38" customHeight="1">
      <x:c r="A42" s="12" t="str">
        <x:v>KS-INJECTION-1000-S-202401-2</x:v>
      </x:c>
      <x:c r="B42" s="14" t="n">
        <x:v>45296</x:v>
      </x:c>
      <x:c r="C42" s="12" t="str">
        <x:v>模拟下游2</x:v>
      </x:c>
      <x:c r="D42" s="12" t="str">
        <x:v>工业塑料周转配件</x:v>
      </x:c>
      <x:c r="E42" s="13" t="n">
        <x:v>1197504</x:v>
      </x:c>
      <x:c r="F42" s="13" t="n">
        <x:v>155676</x:v>
      </x:c>
      <x:c r="G42" s="13" t="n">
        <x:v>1353180</x:v>
      </x:c>
      <x:c r="H42" s="13" t="n">
        <x:v>1353180</x:v>
      </x:c>
      <x:c r="I42" s="13" t="n">
        <x:v>0</x:v>
      </x:c>
      <x:c r="J42" s="14" t="n">
        <x:v>45301</x:v>
      </x:c>
      <x:c r="K42" s="12" t="str">
        <x:v>KS-INJECTION-1000-S-202401-2-INV</x:v>
      </x:c>
      <x:c r="L42" s="12" t="str">
        <x:v>KS-INJECTION-1000-S-202401-2-DEL</x:v>
      </x:c>
      <x:c r="M42" s="12" t="str">
        <x:v>SYNTHETIC</x:v>
      </x:c>
    </x:row>
    <x:row r="43" ht="38" customHeight="1">
      <x:c r="A43" s="12" t="str">
        <x:v>KS-INJECTION-1000-S-202401-3</x:v>
      </x:c>
      <x:c r="B43" s="14" t="n">
        <x:v>45296</x:v>
      </x:c>
      <x:c r="C43" s="12" t="str">
        <x:v>模拟下游3</x:v>
      </x:c>
      <x:c r="D43" s="12" t="str">
        <x:v>工业塑料周转配件</x:v>
      </x:c>
      <x:c r="E43" s="13" t="n">
        <x:v>1197504</x:v>
      </x:c>
      <x:c r="F43" s="13" t="n">
        <x:v>155675</x:v>
      </x:c>
      <x:c r="G43" s="13" t="n">
        <x:v>1353179</x:v>
      </x:c>
      <x:c r="H43" s="13" t="n">
        <x:v>1353179</x:v>
      </x:c>
      <x:c r="I43" s="13" t="n">
        <x:v>0</x:v>
      </x:c>
      <x:c r="J43" s="14" t="n">
        <x:v>45301</x:v>
      </x:c>
      <x:c r="K43" s="12" t="str">
        <x:v>KS-INJECTION-1000-S-202401-3-INV</x:v>
      </x:c>
      <x:c r="L43" s="12" t="str">
        <x:v>KS-INJECTION-1000-S-202401-3-DEL</x:v>
      </x:c>
      <x:c r="M43" s="12" t="str">
        <x:v>SYNTHETIC</x:v>
      </x:c>
    </x:row>
    <x:row r="44" ht="38" customHeight="1">
      <x:c r="A44" s="12" t="str">
        <x:v>KS-INJECTION-1000-S-202402-1</x:v>
      </x:c>
      <x:c r="B44" s="14" t="n">
        <x:v>45327</x:v>
      </x:c>
      <x:c r="C44" s="12" t="str">
        <x:v>模拟下游1</x:v>
      </x:c>
      <x:c r="D44" s="12" t="str">
        <x:v>工业塑料周转配件</x:v>
      </x:c>
      <x:c r="E44" s="13" t="n">
        <x:v>1110413</x:v>
      </x:c>
      <x:c r="F44" s="13" t="n">
        <x:v>144354</x:v>
      </x:c>
      <x:c r="G44" s="13" t="n">
        <x:v>1254767</x:v>
      </x:c>
      <x:c r="H44" s="13" t="n">
        <x:v>1254767</x:v>
      </x:c>
      <x:c r="I44" s="13" t="n">
        <x:v>0</x:v>
      </x:c>
      <x:c r="J44" s="14" t="n">
        <x:v>45332</x:v>
      </x:c>
      <x:c r="K44" s="12" t="str">
        <x:v>KS-INJECTION-1000-S-202402-1-INV</x:v>
      </x:c>
      <x:c r="L44" s="12" t="str">
        <x:v>KS-INJECTION-1000-S-202402-1-DEL</x:v>
      </x:c>
      <x:c r="M44" s="12" t="str">
        <x:v>SYNTHETIC</x:v>
      </x:c>
    </x:row>
    <x:row r="45" ht="38" customHeight="1">
      <x:c r="A45" s="12" t="str">
        <x:v>KS-INJECTION-1000-S-202402-2</x:v>
      </x:c>
      <x:c r="B45" s="14" t="n">
        <x:v>45327</x:v>
      </x:c>
      <x:c r="C45" s="12" t="str">
        <x:v>模拟下游2</x:v>
      </x:c>
      <x:c r="D45" s="12" t="str">
        <x:v>工业塑料周转配件</x:v>
      </x:c>
      <x:c r="E45" s="13" t="n">
        <x:v>1077754</x:v>
      </x:c>
      <x:c r="F45" s="13" t="n">
        <x:v>140108</x:v>
      </x:c>
      <x:c r="G45" s="13" t="n">
        <x:v>1217862</x:v>
      </x:c>
      <x:c r="H45" s="13" t="n">
        <x:v>1217862</x:v>
      </x:c>
      <x:c r="I45" s="13" t="n">
        <x:v>0</x:v>
      </x:c>
      <x:c r="J45" s="14" t="n">
        <x:v>45332</x:v>
      </x:c>
      <x:c r="K45" s="12" t="str">
        <x:v>KS-INJECTION-1000-S-202402-2-INV</x:v>
      </x:c>
      <x:c r="L45" s="12" t="str">
        <x:v>KS-INJECTION-1000-S-202402-2-DEL</x:v>
      </x:c>
      <x:c r="M45" s="12" t="str">
        <x:v>SYNTHETIC</x:v>
      </x:c>
    </x:row>
    <x:row r="46" ht="38" customHeight="1">
      <x:c r="A46" s="12" t="str">
        <x:v>KS-INJECTION-1000-S-202402-3</x:v>
      </x:c>
      <x:c r="B46" s="14" t="n">
        <x:v>45327</x:v>
      </x:c>
      <x:c r="C46" s="12" t="str">
        <x:v>模拟下游3</x:v>
      </x:c>
      <x:c r="D46" s="12" t="str">
        <x:v>工业塑料周转配件</x:v>
      </x:c>
      <x:c r="E46" s="13" t="n">
        <x:v>1077753</x:v>
      </x:c>
      <x:c r="F46" s="13" t="n">
        <x:v>140108</x:v>
      </x:c>
      <x:c r="G46" s="13" t="n">
        <x:v>1217861</x:v>
      </x:c>
      <x:c r="H46" s="13" t="n">
        <x:v>1217861</x:v>
      </x:c>
      <x:c r="I46" s="13" t="n">
        <x:v>0</x:v>
      </x:c>
      <x:c r="J46" s="14" t="n">
        <x:v>45332</x:v>
      </x:c>
      <x:c r="K46" s="12" t="str">
        <x:v>KS-INJECTION-1000-S-202402-3-INV</x:v>
      </x:c>
      <x:c r="L46" s="12" t="str">
        <x:v>KS-INJECTION-1000-S-202402-3-DEL</x:v>
      </x:c>
      <x:c r="M46" s="12" t="str">
        <x:v>SYNTHETIC</x:v>
      </x:c>
    </x:row>
    <x:row r="47" ht="38" customHeight="1">
      <x:c r="A47" s="12" t="str">
        <x:v>KS-INJECTION-1000-S-202403-1</x:v>
      </x:c>
      <x:c r="B47" s="14" t="n">
        <x:v>45356</x:v>
      </x:c>
      <x:c r="C47" s="12" t="str">
        <x:v>模拟下游1</x:v>
      </x:c>
      <x:c r="D47" s="12" t="str">
        <x:v>工业塑料周转配件</x:v>
      </x:c>
      <x:c r="E47" s="13" t="n">
        <x:v>1573085</x:v>
      </x:c>
      <x:c r="F47" s="13" t="n">
        <x:v>204501</x:v>
      </x:c>
      <x:c r="G47" s="13" t="n">
        <x:v>1777586</x:v>
      </x:c>
      <x:c r="H47" s="13" t="n">
        <x:v>1777586</x:v>
      </x:c>
      <x:c r="I47" s="13" t="n">
        <x:v>0</x:v>
      </x:c>
      <x:c r="J47" s="14" t="n">
        <x:v>45361</x:v>
      </x:c>
      <x:c r="K47" s="12" t="str">
        <x:v>KS-INJECTION-1000-S-202403-1-INV</x:v>
      </x:c>
      <x:c r="L47" s="12" t="str">
        <x:v>KS-INJECTION-1000-S-202403-1-DEL</x:v>
      </x:c>
      <x:c r="M47" s="12" t="str">
        <x:v>SYNTHETIC</x:v>
      </x:c>
    </x:row>
    <x:row r="48" ht="38" customHeight="1">
      <x:c r="A48" s="12" t="str">
        <x:v>KS-INJECTION-1000-S-202403-2</x:v>
      </x:c>
      <x:c r="B48" s="14" t="n">
        <x:v>45356</x:v>
      </x:c>
      <x:c r="C48" s="12" t="str">
        <x:v>模拟下游2</x:v>
      </x:c>
      <x:c r="D48" s="12" t="str">
        <x:v>工业塑料周转配件</x:v>
      </x:c>
      <x:c r="E48" s="13" t="n">
        <x:v>1526818</x:v>
      </x:c>
      <x:c r="F48" s="13" t="n">
        <x:v>198486</x:v>
      </x:c>
      <x:c r="G48" s="13" t="n">
        <x:v>1725304</x:v>
      </x:c>
      <x:c r="H48" s="13" t="n">
        <x:v>1725304</x:v>
      </x:c>
      <x:c r="I48" s="13" t="n">
        <x:v>0</x:v>
      </x:c>
      <x:c r="J48" s="14" t="n">
        <x:v>45361</x:v>
      </x:c>
      <x:c r="K48" s="12" t="str">
        <x:v>KS-INJECTION-1000-S-202403-2-INV</x:v>
      </x:c>
      <x:c r="L48" s="12" t="str">
        <x:v>KS-INJECTION-1000-S-202403-2-DEL</x:v>
      </x:c>
      <x:c r="M48" s="12" t="str">
        <x:v>SYNTHETIC</x:v>
      </x:c>
    </x:row>
    <x:row r="49" ht="38" customHeight="1">
      <x:c r="A49" s="12" t="str">
        <x:v>KS-INJECTION-1000-S-202403-3</x:v>
      </x:c>
      <x:c r="B49" s="14" t="n">
        <x:v>45356</x:v>
      </x:c>
      <x:c r="C49" s="12" t="str">
        <x:v>模拟下游3</x:v>
      </x:c>
      <x:c r="D49" s="12" t="str">
        <x:v>工业塑料周转配件</x:v>
      </x:c>
      <x:c r="E49" s="13" t="n">
        <x:v>1526817</x:v>
      </x:c>
      <x:c r="F49" s="13" t="n">
        <x:v>198487</x:v>
      </x:c>
      <x:c r="G49" s="13" t="n">
        <x:v>1725304</x:v>
      </x:c>
      <x:c r="H49" s="13" t="n">
        <x:v>1725304</x:v>
      </x:c>
      <x:c r="I49" s="13" t="n">
        <x:v>0</x:v>
      </x:c>
      <x:c r="J49" s="14" t="n">
        <x:v>45361</x:v>
      </x:c>
      <x:c r="K49" s="12" t="str">
        <x:v>KS-INJECTION-1000-S-202403-3-INV</x:v>
      </x:c>
      <x:c r="L49" s="12" t="str">
        <x:v>KS-INJECTION-1000-S-202403-3-DEL</x:v>
      </x:c>
      <x:c r="M49" s="12" t="str">
        <x:v>SYNTHETIC</x:v>
      </x:c>
    </x:row>
    <x:row r="50" ht="38" customHeight="1">
      <x:c r="A50" s="12" t="str">
        <x:v>KS-INJECTION-1000-S-202404-1</x:v>
      </x:c>
      <x:c r="B50" s="14" t="n">
        <x:v>45387</x:v>
      </x:c>
      <x:c r="C50" s="12" t="str">
        <x:v>模拟下游1</x:v>
      </x:c>
      <x:c r="D50" s="12" t="str">
        <x:v>工业塑料周转配件</x:v>
      </x:c>
      <x:c r="E50" s="13" t="n">
        <x:v>1634774</x:v>
      </x:c>
      <x:c r="F50" s="13" t="n">
        <x:v>212521</x:v>
      </x:c>
      <x:c r="G50" s="13" t="n">
        <x:v>1847295</x:v>
      </x:c>
      <x:c r="H50" s="13" t="n">
        <x:v>1847295</x:v>
      </x:c>
      <x:c r="I50" s="13" t="n">
        <x:v>0</x:v>
      </x:c>
      <x:c r="J50" s="14" t="n">
        <x:v>45392</x:v>
      </x:c>
      <x:c r="K50" s="12" t="str">
        <x:v>KS-INJECTION-1000-S-202404-1-INV</x:v>
      </x:c>
      <x:c r="L50" s="12" t="str">
        <x:v>KS-INJECTION-1000-S-202404-1-DEL</x:v>
      </x:c>
      <x:c r="M50" s="12" t="str">
        <x:v>SYNTHETIC</x:v>
      </x:c>
    </x:row>
    <x:row r="51" ht="38" customHeight="1">
      <x:c r="A51" s="12" t="str">
        <x:v>KS-INJECTION-1000-S-202404-2</x:v>
      </x:c>
      <x:c r="B51" s="14" t="n">
        <x:v>45387</x:v>
      </x:c>
      <x:c r="C51" s="12" t="str">
        <x:v>模拟下游2</x:v>
      </x:c>
      <x:c r="D51" s="12" t="str">
        <x:v>工业塑料周转配件</x:v>
      </x:c>
      <x:c r="E51" s="13" t="n">
        <x:v>1586693</x:v>
      </x:c>
      <x:c r="F51" s="13" t="n">
        <x:v>206270</x:v>
      </x:c>
      <x:c r="G51" s="13" t="n">
        <x:v>1792963</x:v>
      </x:c>
      <x:c r="H51" s="13" t="n">
        <x:v>1792963</x:v>
      </x:c>
      <x:c r="I51" s="13" t="n">
        <x:v>0</x:v>
      </x:c>
      <x:c r="J51" s="14" t="n">
        <x:v>45392</x:v>
      </x:c>
      <x:c r="K51" s="12" t="str">
        <x:v>KS-INJECTION-1000-S-202404-2-INV</x:v>
      </x:c>
      <x:c r="L51" s="12" t="str">
        <x:v>KS-INJECTION-1000-S-202404-2-DEL</x:v>
      </x:c>
      <x:c r="M51" s="12" t="str">
        <x:v>SYNTHETIC</x:v>
      </x:c>
    </x:row>
    <x:row r="52" ht="38" customHeight="1">
      <x:c r="A52" s="12" t="str">
        <x:v>KS-INJECTION-1000-S-202404-3</x:v>
      </x:c>
      <x:c r="B52" s="14" t="n">
        <x:v>45387</x:v>
      </x:c>
      <x:c r="C52" s="12" t="str">
        <x:v>模拟下游3</x:v>
      </x:c>
      <x:c r="D52" s="12" t="str">
        <x:v>工业塑料周转配件</x:v>
      </x:c>
      <x:c r="E52" s="13" t="n">
        <x:v>1586693</x:v>
      </x:c>
      <x:c r="F52" s="13" t="n">
        <x:v>206270</x:v>
      </x:c>
      <x:c r="G52" s="13" t="n">
        <x:v>1792963</x:v>
      </x:c>
      <x:c r="H52" s="13" t="n">
        <x:v>1792963</x:v>
      </x:c>
      <x:c r="I52" s="13" t="n">
        <x:v>0</x:v>
      </x:c>
      <x:c r="J52" s="14" t="n">
        <x:v>45392</x:v>
      </x:c>
      <x:c r="K52" s="12" t="str">
        <x:v>KS-INJECTION-1000-S-202404-3-INV</x:v>
      </x:c>
      <x:c r="L52" s="12" t="str">
        <x:v>KS-INJECTION-1000-S-202404-3-DEL</x:v>
      </x:c>
      <x:c r="M52" s="12" t="str">
        <x:v>SYNTHETIC</x:v>
      </x:c>
    </x:row>
    <x:row r="53" ht="38" customHeight="1">
      <x:c r="A53" s="12" t="str">
        <x:v>KS-INJECTION-1000-S-202405-1</x:v>
      </x:c>
      <x:c r="B53" s="14" t="n">
        <x:v>45417</x:v>
      </x:c>
      <x:c r="C53" s="12" t="str">
        <x:v>模拟下游1</x:v>
      </x:c>
      <x:c r="D53" s="12" t="str">
        <x:v>工业塑料周转配件</x:v>
      </x:c>
      <x:c r="E53" s="13" t="n">
        <x:v>1696464</x:v>
      </x:c>
      <x:c r="F53" s="13" t="n">
        <x:v>220540</x:v>
      </x:c>
      <x:c r="G53" s="13" t="n">
        <x:v>1917004</x:v>
      </x:c>
      <x:c r="H53" s="13" t="n">
        <x:v>1917004</x:v>
      </x:c>
      <x:c r="I53" s="13" t="n">
        <x:v>0</x:v>
      </x:c>
      <x:c r="J53" s="14" t="n">
        <x:v>45422</x:v>
      </x:c>
      <x:c r="K53" s="12" t="str">
        <x:v>KS-INJECTION-1000-S-202405-1-INV</x:v>
      </x:c>
      <x:c r="L53" s="12" t="str">
        <x:v>KS-INJECTION-1000-S-202405-1-DEL</x:v>
      </x:c>
      <x:c r="M53" s="12" t="str">
        <x:v>SYNTHETIC</x:v>
      </x:c>
    </x:row>
    <x:row r="54" ht="38" customHeight="1">
      <x:c r="A54" s="12" t="str">
        <x:v>KS-INJECTION-1000-S-202405-2</x:v>
      </x:c>
      <x:c r="B54" s="14" t="n">
        <x:v>45417</x:v>
      </x:c>
      <x:c r="C54" s="12" t="str">
        <x:v>模拟下游2</x:v>
      </x:c>
      <x:c r="D54" s="12" t="str">
        <x:v>工业塑料周转配件</x:v>
      </x:c>
      <x:c r="E54" s="13" t="n">
        <x:v>1646568</x:v>
      </x:c>
      <x:c r="F54" s="13" t="n">
        <x:v>214054</x:v>
      </x:c>
      <x:c r="G54" s="13" t="n">
        <x:v>1860622</x:v>
      </x:c>
      <x:c r="H54" s="13" t="n">
        <x:v>1860622</x:v>
      </x:c>
      <x:c r="I54" s="13" t="n">
        <x:v>0</x:v>
      </x:c>
      <x:c r="J54" s="14" t="n">
        <x:v>45422</x:v>
      </x:c>
      <x:c r="K54" s="12" t="str">
        <x:v>KS-INJECTION-1000-S-202405-2-INV</x:v>
      </x:c>
      <x:c r="L54" s="12" t="str">
        <x:v>KS-INJECTION-1000-S-202405-2-DEL</x:v>
      </x:c>
      <x:c r="M54" s="12" t="str">
        <x:v>SYNTHETIC</x:v>
      </x:c>
    </x:row>
    <x:row r="55" ht="38" customHeight="1">
      <x:c r="A55" s="12" t="str">
        <x:v>KS-INJECTION-1000-S-202405-3</x:v>
      </x:c>
      <x:c r="B55" s="14" t="n">
        <x:v>45417</x:v>
      </x:c>
      <x:c r="C55" s="12" t="str">
        <x:v>模拟下游3</x:v>
      </x:c>
      <x:c r="D55" s="12" t="str">
        <x:v>工业塑料周转配件</x:v>
      </x:c>
      <x:c r="E55" s="13" t="n">
        <x:v>1646568</x:v>
      </x:c>
      <x:c r="F55" s="13" t="n">
        <x:v>214054</x:v>
      </x:c>
      <x:c r="G55" s="13" t="n">
        <x:v>1860622</x:v>
      </x:c>
      <x:c r="H55" s="13" t="n">
        <x:v>1860622</x:v>
      </x:c>
      <x:c r="I55" s="13" t="n">
        <x:v>0</x:v>
      </x:c>
      <x:c r="J55" s="14" t="n">
        <x:v>45422</x:v>
      </x:c>
      <x:c r="K55" s="12" t="str">
        <x:v>KS-INJECTION-1000-S-202405-3-INV</x:v>
      </x:c>
      <x:c r="L55" s="12" t="str">
        <x:v>KS-INJECTION-1000-S-202405-3-DEL</x:v>
      </x:c>
      <x:c r="M55" s="12" t="str">
        <x:v>SYNTHETIC</x:v>
      </x:c>
    </x:row>
    <x:row r="56" ht="38" customHeight="1">
      <x:c r="A56" s="12" t="str">
        <x:v>KS-INJECTION-1000-S-202406-1</x:v>
      </x:c>
      <x:c r="B56" s="14" t="n">
        <x:v>45448</x:v>
      </x:c>
      <x:c r="C56" s="12" t="str">
        <x:v>模拟下游1</x:v>
      </x:c>
      <x:c r="D56" s="12" t="str">
        <x:v>工业塑料周转配件</x:v>
      </x:c>
      <x:c r="E56" s="13" t="n">
        <x:v>1619352</x:v>
      </x:c>
      <x:c r="F56" s="13" t="n">
        <x:v>210516</x:v>
      </x:c>
      <x:c r="G56" s="13" t="n">
        <x:v>1829868</x:v>
      </x:c>
      <x:c r="H56" s="13" t="n">
        <x:v>1829868</x:v>
      </x:c>
      <x:c r="I56" s="13" t="n">
        <x:v>0</x:v>
      </x:c>
      <x:c r="J56" s="14" t="n">
        <x:v>45453</x:v>
      </x:c>
      <x:c r="K56" s="12" t="str">
        <x:v>KS-INJECTION-1000-S-202406-1-INV</x:v>
      </x:c>
      <x:c r="L56" s="12" t="str">
        <x:v>KS-INJECTION-1000-S-202406-1-DEL</x:v>
      </x:c>
      <x:c r="M56" s="12" t="str">
        <x:v>SYNTHETIC</x:v>
      </x:c>
    </x:row>
    <x:row r="57" ht="38" customHeight="1">
      <x:c r="A57" s="12" t="str">
        <x:v>KS-INJECTION-1000-S-202406-2</x:v>
      </x:c>
      <x:c r="B57" s="14" t="n">
        <x:v>45448</x:v>
      </x:c>
      <x:c r="C57" s="12" t="str">
        <x:v>模拟下游2</x:v>
      </x:c>
      <x:c r="D57" s="12" t="str">
        <x:v>工业塑料周转配件</x:v>
      </x:c>
      <x:c r="E57" s="13" t="n">
        <x:v>1571724</x:v>
      </x:c>
      <x:c r="F57" s="13" t="n">
        <x:v>204324</x:v>
      </x:c>
      <x:c r="G57" s="13" t="n">
        <x:v>1776048</x:v>
      </x:c>
      <x:c r="H57" s="13" t="n">
        <x:v>1776048</x:v>
      </x:c>
      <x:c r="I57" s="13" t="n">
        <x:v>0</x:v>
      </x:c>
      <x:c r="J57" s="14" t="n">
        <x:v>45453</x:v>
      </x:c>
      <x:c r="K57" s="12" t="str">
        <x:v>KS-INJECTION-1000-S-202406-2-INV</x:v>
      </x:c>
      <x:c r="L57" s="12" t="str">
        <x:v>KS-INJECTION-1000-S-202406-2-DEL</x:v>
      </x:c>
      <x:c r="M57" s="12" t="str">
        <x:v>SYNTHETIC</x:v>
      </x:c>
    </x:row>
    <x:row r="58" ht="38" customHeight="1">
      <x:c r="A58" s="12" t="str">
        <x:v>KS-INJECTION-1000-S-202406-3</x:v>
      </x:c>
      <x:c r="B58" s="14" t="n">
        <x:v>45448</x:v>
      </x:c>
      <x:c r="C58" s="12" t="str">
        <x:v>模拟下游3</x:v>
      </x:c>
      <x:c r="D58" s="12" t="str">
        <x:v>工业塑料周转配件</x:v>
      </x:c>
      <x:c r="E58" s="13" t="n">
        <x:v>1571724</x:v>
      </x:c>
      <x:c r="F58" s="13" t="n">
        <x:v>204324</x:v>
      </x:c>
      <x:c r="G58" s="13" t="n">
        <x:v>1776048</x:v>
      </x:c>
      <x:c r="H58" s="13" t="n">
        <x:v>1776048</x:v>
      </x:c>
      <x:c r="I58" s="13" t="n">
        <x:v>0</x:v>
      </x:c>
      <x:c r="J58" s="14" t="n">
        <x:v>45453</x:v>
      </x:c>
      <x:c r="K58" s="12" t="str">
        <x:v>KS-INJECTION-1000-S-202406-3-INV</x:v>
      </x:c>
      <x:c r="L58" s="12" t="str">
        <x:v>KS-INJECTION-1000-S-202406-3-DEL</x:v>
      </x:c>
      <x:c r="M58" s="12" t="str">
        <x:v>SYNTHETIC</x:v>
      </x:c>
    </x:row>
    <x:row r="59" ht="38" customHeight="1">
      <x:c r="A59" s="12" t="str">
        <x:v>KS-INJECTION-1000-S-202407-1</x:v>
      </x:c>
      <x:c r="B59" s="14" t="n">
        <x:v>45478</x:v>
      </x:c>
      <x:c r="C59" s="12" t="str">
        <x:v>模拟下游1</x:v>
      </x:c>
      <x:c r="D59" s="12" t="str">
        <x:v>工业塑料周转配件</x:v>
      </x:c>
      <x:c r="E59" s="13" t="n">
        <x:v>1665619</x:v>
      </x:c>
      <x:c r="F59" s="13" t="n">
        <x:v>216530</x:v>
      </x:c>
      <x:c r="G59" s="13" t="n">
        <x:v>1882149</x:v>
      </x:c>
      <x:c r="H59" s="13" t="n">
        <x:v>1882149</x:v>
      </x:c>
      <x:c r="I59" s="13" t="n">
        <x:v>0</x:v>
      </x:c>
      <x:c r="J59" s="14" t="n">
        <x:v>45483</x:v>
      </x:c>
      <x:c r="K59" s="12" t="str">
        <x:v>KS-INJECTION-1000-S-202407-1-INV</x:v>
      </x:c>
      <x:c r="L59" s="12" t="str">
        <x:v>KS-INJECTION-1000-S-202407-1-DEL</x:v>
      </x:c>
      <x:c r="M59" s="12" t="str">
        <x:v>SYNTHETIC</x:v>
      </x:c>
    </x:row>
    <x:row r="60" ht="38" customHeight="1">
      <x:c r="A60" s="12" t="str">
        <x:v>KS-INJECTION-1000-S-202407-2</x:v>
      </x:c>
      <x:c r="B60" s="14" t="n">
        <x:v>45478</x:v>
      </x:c>
      <x:c r="C60" s="12" t="str">
        <x:v>模拟下游2</x:v>
      </x:c>
      <x:c r="D60" s="12" t="str">
        <x:v>工业塑料周转配件</x:v>
      </x:c>
      <x:c r="E60" s="13" t="n">
        <x:v>1616630</x:v>
      </x:c>
      <x:c r="F60" s="13" t="n">
        <x:v>210162</x:v>
      </x:c>
      <x:c r="G60" s="13" t="n">
        <x:v>1826792</x:v>
      </x:c>
      <x:c r="H60" s="13" t="n">
        <x:v>1826792</x:v>
      </x:c>
      <x:c r="I60" s="13" t="n">
        <x:v>0</x:v>
      </x:c>
      <x:c r="J60" s="14" t="n">
        <x:v>45483</x:v>
      </x:c>
      <x:c r="K60" s="12" t="str">
        <x:v>KS-INJECTION-1000-S-202407-2-INV</x:v>
      </x:c>
      <x:c r="L60" s="12" t="str">
        <x:v>KS-INJECTION-1000-S-202407-2-DEL</x:v>
      </x:c>
      <x:c r="M60" s="12" t="str">
        <x:v>SYNTHETIC</x:v>
      </x:c>
    </x:row>
    <x:row r="61" ht="38" customHeight="1">
      <x:c r="A61" s="12" t="str">
        <x:v>KS-INJECTION-1000-S-202407-3</x:v>
      </x:c>
      <x:c r="B61" s="14" t="n">
        <x:v>45478</x:v>
      </x:c>
      <x:c r="C61" s="12" t="str">
        <x:v>模拟下游3</x:v>
      </x:c>
      <x:c r="D61" s="12" t="str">
        <x:v>工业塑料周转配件</x:v>
      </x:c>
      <x:c r="E61" s="13" t="n">
        <x:v>1616631</x:v>
      </x:c>
      <x:c r="F61" s="13" t="n">
        <x:v>210162</x:v>
      </x:c>
      <x:c r="G61" s="13" t="n">
        <x:v>1826793</x:v>
      </x:c>
      <x:c r="H61" s="13" t="n">
        <x:v>1826793</x:v>
      </x:c>
      <x:c r="I61" s="13" t="n">
        <x:v>0</x:v>
      </x:c>
      <x:c r="J61" s="14" t="n">
        <x:v>45483</x:v>
      </x:c>
      <x:c r="K61" s="12" t="str">
        <x:v>KS-INJECTION-1000-S-202407-3-INV</x:v>
      </x:c>
      <x:c r="L61" s="12" t="str">
        <x:v>KS-INJECTION-1000-S-202407-3-DEL</x:v>
      </x:c>
      <x:c r="M61" s="12" t="str">
        <x:v>SYNTHETIC</x:v>
      </x:c>
    </x:row>
    <x:row r="62" ht="38" customHeight="1">
      <x:c r="A62" s="12" t="str">
        <x:v>KS-INJECTION-1000-S-202408-1</x:v>
      </x:c>
      <x:c r="B62" s="14" t="n">
        <x:v>45509</x:v>
      </x:c>
      <x:c r="C62" s="12" t="str">
        <x:v>模拟下游1</x:v>
      </x:c>
      <x:c r="D62" s="12" t="str">
        <x:v>工业塑料周转配件</x:v>
      </x:c>
      <x:c r="E62" s="13" t="n">
        <x:v>1665619</x:v>
      </x:c>
      <x:c r="F62" s="13" t="n">
        <x:v>216530</x:v>
      </x:c>
      <x:c r="G62" s="13" t="n">
        <x:v>1882149</x:v>
      </x:c>
      <x:c r="H62" s="13" t="n">
        <x:v>1882149</x:v>
      </x:c>
      <x:c r="I62" s="13" t="n">
        <x:v>0</x:v>
      </x:c>
      <x:c r="J62" s="14" t="n">
        <x:v>45514</x:v>
      </x:c>
      <x:c r="K62" s="12" t="str">
        <x:v>KS-INJECTION-1000-S-202408-1-INV</x:v>
      </x:c>
      <x:c r="L62" s="12" t="str">
        <x:v>KS-INJECTION-1000-S-202408-1-DEL</x:v>
      </x:c>
      <x:c r="M62" s="12" t="str">
        <x:v>SYNTHETIC</x:v>
      </x:c>
    </x:row>
    <x:row r="63" ht="38" customHeight="1">
      <x:c r="A63" s="12" t="str">
        <x:v>KS-INJECTION-1000-S-202408-2</x:v>
      </x:c>
      <x:c r="B63" s="14" t="n">
        <x:v>45509</x:v>
      </x:c>
      <x:c r="C63" s="12" t="str">
        <x:v>模拟下游2</x:v>
      </x:c>
      <x:c r="D63" s="12" t="str">
        <x:v>工业塑料周转配件</x:v>
      </x:c>
      <x:c r="E63" s="13" t="n">
        <x:v>1616630</x:v>
      </x:c>
      <x:c r="F63" s="13" t="n">
        <x:v>210162</x:v>
      </x:c>
      <x:c r="G63" s="13" t="n">
        <x:v>1826792</x:v>
      </x:c>
      <x:c r="H63" s="13" t="n">
        <x:v>1826792</x:v>
      </x:c>
      <x:c r="I63" s="13" t="n">
        <x:v>0</x:v>
      </x:c>
      <x:c r="J63" s="14" t="n">
        <x:v>45514</x:v>
      </x:c>
      <x:c r="K63" s="12" t="str">
        <x:v>KS-INJECTION-1000-S-202408-2-INV</x:v>
      </x:c>
      <x:c r="L63" s="12" t="str">
        <x:v>KS-INJECTION-1000-S-202408-2-DEL</x:v>
      </x:c>
      <x:c r="M63" s="12" t="str">
        <x:v>SYNTHETIC</x:v>
      </x:c>
    </x:row>
    <x:row r="64" ht="38" customHeight="1">
      <x:c r="A64" s="12" t="str">
        <x:v>KS-INJECTION-1000-S-202408-3</x:v>
      </x:c>
      <x:c r="B64" s="14" t="n">
        <x:v>45509</x:v>
      </x:c>
      <x:c r="C64" s="12" t="str">
        <x:v>模拟下游3</x:v>
      </x:c>
      <x:c r="D64" s="12" t="str">
        <x:v>工业塑料周转配件</x:v>
      </x:c>
      <x:c r="E64" s="13" t="n">
        <x:v>1616631</x:v>
      </x:c>
      <x:c r="F64" s="13" t="n">
        <x:v>210162</x:v>
      </x:c>
      <x:c r="G64" s="13" t="n">
        <x:v>1826793</x:v>
      </x:c>
      <x:c r="H64" s="13" t="n">
        <x:v>1826793</x:v>
      </x:c>
      <x:c r="I64" s="13" t="n">
        <x:v>0</x:v>
      </x:c>
      <x:c r="J64" s="14" t="n">
        <x:v>45514</x:v>
      </x:c>
      <x:c r="K64" s="12" t="str">
        <x:v>KS-INJECTION-1000-S-202408-3-INV</x:v>
      </x:c>
      <x:c r="L64" s="12" t="str">
        <x:v>KS-INJECTION-1000-S-202408-3-DEL</x:v>
      </x:c>
      <x:c r="M64" s="12" t="str">
        <x:v>SYNTHETIC</x:v>
      </x:c>
    </x:row>
    <x:row r="65" ht="38" customHeight="1">
      <x:c r="A65" s="12" t="str">
        <x:v>KS-INJECTION-1000-S-202409-1</x:v>
      </x:c>
      <x:c r="B65" s="14" t="n">
        <x:v>45540</x:v>
      </x:c>
      <x:c r="C65" s="12" t="str">
        <x:v>模拟下游1</x:v>
      </x:c>
      <x:c r="D65" s="12" t="str">
        <x:v>工业塑料周转配件</x:v>
      </x:c>
      <x:c r="E65" s="13" t="n">
        <x:v>1603930</x:v>
      </x:c>
      <x:c r="F65" s="13" t="n">
        <x:v>208511</x:v>
      </x:c>
      <x:c r="G65" s="13" t="n">
        <x:v>1812441</x:v>
      </x:c>
      <x:c r="H65" s="13" t="n">
        <x:v>1812441</x:v>
      </x:c>
      <x:c r="I65" s="13" t="n">
        <x:v>0</x:v>
      </x:c>
      <x:c r="J65" s="14" t="n">
        <x:v>45545</x:v>
      </x:c>
      <x:c r="K65" s="12" t="str">
        <x:v>KS-INJECTION-1000-S-202409-1-INV</x:v>
      </x:c>
      <x:c r="L65" s="12" t="str">
        <x:v>KS-INJECTION-1000-S-202409-1-DEL</x:v>
      </x:c>
      <x:c r="M65" s="12" t="str">
        <x:v>SYNTHETIC</x:v>
      </x:c>
    </x:row>
    <x:row r="66" ht="38" customHeight="1">
      <x:c r="A66" s="12" t="str">
        <x:v>KS-INJECTION-1000-S-202409-2</x:v>
      </x:c>
      <x:c r="B66" s="14" t="n">
        <x:v>45540</x:v>
      </x:c>
      <x:c r="C66" s="12" t="str">
        <x:v>模拟下游2</x:v>
      </x:c>
      <x:c r="D66" s="12" t="str">
        <x:v>工业塑料周转配件</x:v>
      </x:c>
      <x:c r="E66" s="13" t="n">
        <x:v>1556755</x:v>
      </x:c>
      <x:c r="F66" s="13" t="n">
        <x:v>202378</x:v>
      </x:c>
      <x:c r="G66" s="13" t="n">
        <x:v>1759133</x:v>
      </x:c>
      <x:c r="H66" s="13" t="n">
        <x:v>1759133</x:v>
      </x:c>
      <x:c r="I66" s="13" t="n">
        <x:v>0</x:v>
      </x:c>
      <x:c r="J66" s="14" t="n">
        <x:v>45545</x:v>
      </x:c>
      <x:c r="K66" s="12" t="str">
        <x:v>KS-INJECTION-1000-S-202409-2-INV</x:v>
      </x:c>
      <x:c r="L66" s="12" t="str">
        <x:v>KS-INJECTION-1000-S-202409-2-DEL</x:v>
      </x:c>
      <x:c r="M66" s="12" t="str">
        <x:v>SYNTHETIC</x:v>
      </x:c>
    </x:row>
    <x:row r="67" ht="38" customHeight="1">
      <x:c r="A67" s="12" t="str">
        <x:v>KS-INJECTION-1000-S-202409-3</x:v>
      </x:c>
      <x:c r="B67" s="14" t="n">
        <x:v>45540</x:v>
      </x:c>
      <x:c r="C67" s="12" t="str">
        <x:v>模拟下游3</x:v>
      </x:c>
      <x:c r="D67" s="12" t="str">
        <x:v>工业塑料周转配件</x:v>
      </x:c>
      <x:c r="E67" s="13" t="n">
        <x:v>1556755</x:v>
      </x:c>
      <x:c r="F67" s="13" t="n">
        <x:v>202378</x:v>
      </x:c>
      <x:c r="G67" s="13" t="n">
        <x:v>1759133</x:v>
      </x:c>
      <x:c r="H67" s="13" t="n">
        <x:v>1759133</x:v>
      </x:c>
      <x:c r="I67" s="13" t="n">
        <x:v>0</x:v>
      </x:c>
      <x:c r="J67" s="14" t="n">
        <x:v>45545</x:v>
      </x:c>
      <x:c r="K67" s="12" t="str">
        <x:v>KS-INJECTION-1000-S-202409-3-INV</x:v>
      </x:c>
      <x:c r="L67" s="12" t="str">
        <x:v>KS-INJECTION-1000-S-202409-3-DEL</x:v>
      </x:c>
      <x:c r="M67" s="12" t="str">
        <x:v>SYNTHETIC</x:v>
      </x:c>
    </x:row>
    <x:row r="68" ht="38" customHeight="1">
      <x:c r="A68" s="12" t="str">
        <x:v>KS-INJECTION-1000-S-202410-1</x:v>
      </x:c>
      <x:c r="B68" s="14" t="n">
        <x:v>45570</x:v>
      </x:c>
      <x:c r="C68" s="12" t="str">
        <x:v>模拟下游1</x:v>
      </x:c>
      <x:c r="D68" s="12" t="str">
        <x:v>工业塑料周转配件</x:v>
      </x:c>
      <x:c r="E68" s="13" t="n">
        <x:v>1573085</x:v>
      </x:c>
      <x:c r="F68" s="13" t="n">
        <x:v>204501</x:v>
      </x:c>
      <x:c r="G68" s="13" t="n">
        <x:v>1777586</x:v>
      </x:c>
      <x:c r="H68" s="13" t="n">
        <x:v>1777586</x:v>
      </x:c>
      <x:c r="I68" s="13" t="n">
        <x:v>0</x:v>
      </x:c>
      <x:c r="J68" s="14" t="n">
        <x:v>45575</x:v>
      </x:c>
      <x:c r="K68" s="12" t="str">
        <x:v>KS-INJECTION-1000-S-202410-1-INV</x:v>
      </x:c>
      <x:c r="L68" s="12" t="str">
        <x:v>KS-INJECTION-1000-S-202410-1-DEL</x:v>
      </x:c>
      <x:c r="M68" s="12" t="str">
        <x:v>SYNTHETIC</x:v>
      </x:c>
    </x:row>
    <x:row r="69" ht="38" customHeight="1">
      <x:c r="A69" s="12" t="str">
        <x:v>KS-INJECTION-1000-S-202410-2</x:v>
      </x:c>
      <x:c r="B69" s="14" t="n">
        <x:v>45570</x:v>
      </x:c>
      <x:c r="C69" s="12" t="str">
        <x:v>模拟下游2</x:v>
      </x:c>
      <x:c r="D69" s="12" t="str">
        <x:v>工业塑料周转配件</x:v>
      </x:c>
      <x:c r="E69" s="13" t="n">
        <x:v>1526818</x:v>
      </x:c>
      <x:c r="F69" s="13" t="n">
        <x:v>198486</x:v>
      </x:c>
      <x:c r="G69" s="13" t="n">
        <x:v>1725304</x:v>
      </x:c>
      <x:c r="H69" s="13" t="n">
        <x:v>1725304</x:v>
      </x:c>
      <x:c r="I69" s="13" t="n">
        <x:v>0</x:v>
      </x:c>
      <x:c r="J69" s="14" t="n">
        <x:v>45575</x:v>
      </x:c>
      <x:c r="K69" s="12" t="str">
        <x:v>KS-INJECTION-1000-S-202410-2-INV</x:v>
      </x:c>
      <x:c r="L69" s="12" t="str">
        <x:v>KS-INJECTION-1000-S-202410-2-DEL</x:v>
      </x:c>
      <x:c r="M69" s="12" t="str">
        <x:v>SYNTHETIC</x:v>
      </x:c>
    </x:row>
    <x:row r="70" ht="38" customHeight="1">
      <x:c r="A70" s="12" t="str">
        <x:v>KS-INJECTION-1000-S-202410-3</x:v>
      </x:c>
      <x:c r="B70" s="14" t="n">
        <x:v>45570</x:v>
      </x:c>
      <x:c r="C70" s="12" t="str">
        <x:v>模拟下游3</x:v>
      </x:c>
      <x:c r="D70" s="12" t="str">
        <x:v>工业塑料周转配件</x:v>
      </x:c>
      <x:c r="E70" s="13" t="n">
        <x:v>1526817</x:v>
      </x:c>
      <x:c r="F70" s="13" t="n">
        <x:v>198487</x:v>
      </x:c>
      <x:c r="G70" s="13" t="n">
        <x:v>1725304</x:v>
      </x:c>
      <x:c r="H70" s="13" t="n">
        <x:v>1725304</x:v>
      </x:c>
      <x:c r="I70" s="13" t="n">
        <x:v>0</x:v>
      </x:c>
      <x:c r="J70" s="14" t="n">
        <x:v>45575</x:v>
      </x:c>
      <x:c r="K70" s="12" t="str">
        <x:v>KS-INJECTION-1000-S-202410-3-INV</x:v>
      </x:c>
      <x:c r="L70" s="12" t="str">
        <x:v>KS-INJECTION-1000-S-202410-3-DEL</x:v>
      </x:c>
      <x:c r="M70" s="12" t="str">
        <x:v>SYNTHETIC</x:v>
      </x:c>
    </x:row>
    <x:row r="71" ht="38" customHeight="1">
      <x:c r="A71" s="12" t="str">
        <x:v>KS-INJECTION-1000-S-202411-1</x:v>
      </x:c>
      <x:c r="B71" s="14" t="n">
        <x:v>45601</x:v>
      </x:c>
      <x:c r="C71" s="12" t="str">
        <x:v>模拟下游1</x:v>
      </x:c>
      <x:c r="D71" s="12" t="str">
        <x:v>工业塑料周转配件</x:v>
      </x:c>
      <x:c r="E71" s="13" t="n">
        <x:v>1634774</x:v>
      </x:c>
      <x:c r="F71" s="13" t="n">
        <x:v>212521</x:v>
      </x:c>
      <x:c r="G71" s="13" t="n">
        <x:v>1847295</x:v>
      </x:c>
      <x:c r="H71" s="13" t="n">
        <x:v>1847295</x:v>
      </x:c>
      <x:c r="I71" s="13" t="n">
        <x:v>0</x:v>
      </x:c>
      <x:c r="J71" s="14" t="n">
        <x:v>45606</x:v>
      </x:c>
      <x:c r="K71" s="12" t="str">
        <x:v>KS-INJECTION-1000-S-202411-1-INV</x:v>
      </x:c>
      <x:c r="L71" s="12" t="str">
        <x:v>KS-INJECTION-1000-S-202411-1-DEL</x:v>
      </x:c>
      <x:c r="M71" s="12" t="str">
        <x:v>SYNTHETIC</x:v>
      </x:c>
    </x:row>
    <x:row r="72" ht="38" customHeight="1">
      <x:c r="A72" s="12" t="str">
        <x:v>KS-INJECTION-1000-S-202411-2</x:v>
      </x:c>
      <x:c r="B72" s="14" t="n">
        <x:v>45601</x:v>
      </x:c>
      <x:c r="C72" s="12" t="str">
        <x:v>模拟下游2</x:v>
      </x:c>
      <x:c r="D72" s="12" t="str">
        <x:v>工业塑料周转配件</x:v>
      </x:c>
      <x:c r="E72" s="13" t="n">
        <x:v>1586693</x:v>
      </x:c>
      <x:c r="F72" s="13" t="n">
        <x:v>206270</x:v>
      </x:c>
      <x:c r="G72" s="13" t="n">
        <x:v>1792963</x:v>
      </x:c>
      <x:c r="H72" s="13" t="n">
        <x:v>1792963</x:v>
      </x:c>
      <x:c r="I72" s="13" t="n">
        <x:v>0</x:v>
      </x:c>
      <x:c r="J72" s="14" t="n">
        <x:v>45606</x:v>
      </x:c>
      <x:c r="K72" s="12" t="str">
        <x:v>KS-INJECTION-1000-S-202411-2-INV</x:v>
      </x:c>
      <x:c r="L72" s="12" t="str">
        <x:v>KS-INJECTION-1000-S-202411-2-DEL</x:v>
      </x:c>
      <x:c r="M72" s="12" t="str">
        <x:v>SYNTHETIC</x:v>
      </x:c>
    </x:row>
    <x:row r="73" ht="38" customHeight="1">
      <x:c r="A73" s="12" t="str">
        <x:v>KS-INJECTION-1000-S-202411-3</x:v>
      </x:c>
      <x:c r="B73" s="14" t="n">
        <x:v>45601</x:v>
      </x:c>
      <x:c r="C73" s="12" t="str">
        <x:v>模拟下游3</x:v>
      </x:c>
      <x:c r="D73" s="12" t="str">
        <x:v>工业塑料周转配件</x:v>
      </x:c>
      <x:c r="E73" s="13" t="n">
        <x:v>1586693</x:v>
      </x:c>
      <x:c r="F73" s="13" t="n">
        <x:v>206270</x:v>
      </x:c>
      <x:c r="G73" s="13" t="n">
        <x:v>1792963</x:v>
      </x:c>
      <x:c r="H73" s="13" t="n">
        <x:v>1792963</x:v>
      </x:c>
      <x:c r="I73" s="13" t="n">
        <x:v>0</x:v>
      </x:c>
      <x:c r="J73" s="14" t="n">
        <x:v>45606</x:v>
      </x:c>
      <x:c r="K73" s="12" t="str">
        <x:v>KS-INJECTION-1000-S-202411-3-INV</x:v>
      </x:c>
      <x:c r="L73" s="12" t="str">
        <x:v>KS-INJECTION-1000-S-202411-3-DEL</x:v>
      </x:c>
      <x:c r="M73" s="12" t="str">
        <x:v>SYNTHETIC</x:v>
      </x:c>
    </x:row>
    <x:row r="74" ht="38" customHeight="1">
      <x:c r="A74" s="12" t="str">
        <x:v>KS-INJECTION-1000-S-202412-1</x:v>
      </x:c>
      <x:c r="B74" s="14" t="n">
        <x:v>45631</x:v>
      </x:c>
      <x:c r="C74" s="12" t="str">
        <x:v>模拟下游1</x:v>
      </x:c>
      <x:c r="D74" s="12" t="str">
        <x:v>工业塑料周转配件</x:v>
      </x:c>
      <x:c r="E74" s="13" t="n">
        <x:v>1696464</x:v>
      </x:c>
      <x:c r="F74" s="13" t="n">
        <x:v>220540</x:v>
      </x:c>
      <x:c r="G74" s="13" t="n">
        <x:v>1917004</x:v>
      </x:c>
      <x:c r="H74" s="13" t="n">
        <x:v>1917004</x:v>
      </x:c>
      <x:c r="I74" s="13" t="n">
        <x:v>0</x:v>
      </x:c>
      <x:c r="J74" s="14" t="n">
        <x:v>45636</x:v>
      </x:c>
      <x:c r="K74" s="12" t="str">
        <x:v>KS-INJECTION-1000-S-202412-1-INV</x:v>
      </x:c>
      <x:c r="L74" s="12" t="str">
        <x:v>KS-INJECTION-1000-S-202412-1-DEL</x:v>
      </x:c>
      <x:c r="M74" s="12" t="str">
        <x:v>SYNTHETIC</x:v>
      </x:c>
    </x:row>
    <x:row r="75" ht="38" customHeight="1">
      <x:c r="A75" s="12" t="str">
        <x:v>KS-INJECTION-1000-S-202412-2</x:v>
      </x:c>
      <x:c r="B75" s="14" t="n">
        <x:v>45631</x:v>
      </x:c>
      <x:c r="C75" s="12" t="str">
        <x:v>模拟下游2</x:v>
      </x:c>
      <x:c r="D75" s="12" t="str">
        <x:v>工业塑料周转配件</x:v>
      </x:c>
      <x:c r="E75" s="13" t="n">
        <x:v>1646568</x:v>
      </x:c>
      <x:c r="F75" s="13" t="n">
        <x:v>214054</x:v>
      </x:c>
      <x:c r="G75" s="13" t="n">
        <x:v>1860622</x:v>
      </x:c>
      <x:c r="H75" s="13" t="n">
        <x:v>1860622</x:v>
      </x:c>
      <x:c r="I75" s="13" t="n">
        <x:v>0</x:v>
      </x:c>
      <x:c r="J75" s="14" t="n">
        <x:v>45636</x:v>
      </x:c>
      <x:c r="K75" s="12" t="str">
        <x:v>KS-INJECTION-1000-S-202412-2-INV</x:v>
      </x:c>
      <x:c r="L75" s="12" t="str">
        <x:v>KS-INJECTION-1000-S-202412-2-DEL</x:v>
      </x:c>
      <x:c r="M75" s="12" t="str">
        <x:v>SYNTHETIC</x:v>
      </x:c>
    </x:row>
    <x:row r="76" ht="38" customHeight="1">
      <x:c r="A76" s="12" t="str">
        <x:v>KS-INJECTION-1000-S-202412-3</x:v>
      </x:c>
      <x:c r="B76" s="14" t="n">
        <x:v>45631</x:v>
      </x:c>
      <x:c r="C76" s="12" t="str">
        <x:v>模拟下游3</x:v>
      </x:c>
      <x:c r="D76" s="12" t="str">
        <x:v>工业塑料周转配件</x:v>
      </x:c>
      <x:c r="E76" s="13" t="n">
        <x:v>1646568</x:v>
      </x:c>
      <x:c r="F76" s="13" t="n">
        <x:v>214054</x:v>
      </x:c>
      <x:c r="G76" s="13" t="n">
        <x:v>1860622</x:v>
      </x:c>
      <x:c r="H76" s="13" t="n">
        <x:v>1860622</x:v>
      </x:c>
      <x:c r="I76" s="13" t="n">
        <x:v>0</x:v>
      </x:c>
      <x:c r="J76" s="14" t="n">
        <x:v>45636</x:v>
      </x:c>
      <x:c r="K76" s="12" t="str">
        <x:v>KS-INJECTION-1000-S-202412-3-INV</x:v>
      </x:c>
      <x:c r="L76" s="12" t="str">
        <x:v>KS-INJECTION-1000-S-202412-3-DEL</x:v>
      </x:c>
      <x:c r="M76" s="12" t="str">
        <x:v>SYNTHETIC</x:v>
      </x:c>
    </x:row>
    <x:row r="77" ht="38" customHeight="1">
      <x:c r="A77" s="12" t="str">
        <x:v>KS-INJECTION-1000-S-202501-1</x:v>
      </x:c>
      <x:c r="B77" s="14" t="n">
        <x:v>45662</x:v>
      </x:c>
      <x:c r="C77" s="12" t="str">
        <x:v>模拟下游1</x:v>
      </x:c>
      <x:c r="D77" s="12" t="str">
        <x:v>工业塑料周转配件</x:v>
      </x:c>
      <x:c r="E77" s="13" t="n">
        <x:v>1332495</x:v>
      </x:c>
      <x:c r="F77" s="13" t="n">
        <x:v>173225</x:v>
      </x:c>
      <x:c r="G77" s="13" t="n">
        <x:v>1505720</x:v>
      </x:c>
      <x:c r="H77" s="13" t="n">
        <x:v>1505720</x:v>
      </x:c>
      <x:c r="I77" s="13" t="n">
        <x:v>0</x:v>
      </x:c>
      <x:c r="J77" s="14" t="n">
        <x:v>45667</x:v>
      </x:c>
      <x:c r="K77" s="12" t="str">
        <x:v>KS-INJECTION-1000-S-202501-1-INV</x:v>
      </x:c>
      <x:c r="L77" s="12" t="str">
        <x:v>KS-INJECTION-1000-S-202501-1-DEL</x:v>
      </x:c>
      <x:c r="M77" s="12" t="str">
        <x:v>SYNTHETIC</x:v>
      </x:c>
    </x:row>
    <x:row r="78" ht="38" customHeight="1">
      <x:c r="A78" s="12" t="str">
        <x:v>KS-INJECTION-1000-S-202501-2</x:v>
      </x:c>
      <x:c r="B78" s="14" t="n">
        <x:v>45662</x:v>
      </x:c>
      <x:c r="C78" s="12" t="str">
        <x:v>模拟下游2</x:v>
      </x:c>
      <x:c r="D78" s="12" t="str">
        <x:v>工业塑料周转配件</x:v>
      </x:c>
      <x:c r="E78" s="13" t="n">
        <x:v>1293304</x:v>
      </x:c>
      <x:c r="F78" s="13" t="n">
        <x:v>168130</x:v>
      </x:c>
      <x:c r="G78" s="13" t="n">
        <x:v>1461434</x:v>
      </x:c>
      <x:c r="H78" s="13" t="n">
        <x:v>1461434</x:v>
      </x:c>
      <x:c r="I78" s="13" t="n">
        <x:v>0</x:v>
      </x:c>
      <x:c r="J78" s="14" t="n">
        <x:v>45667</x:v>
      </x:c>
      <x:c r="K78" s="12" t="str">
        <x:v>KS-INJECTION-1000-S-202501-2-INV</x:v>
      </x:c>
      <x:c r="L78" s="12" t="str">
        <x:v>KS-INJECTION-1000-S-202501-2-DEL</x:v>
      </x:c>
      <x:c r="M78" s="12" t="str">
        <x:v>SYNTHETIC</x:v>
      </x:c>
    </x:row>
    <x:row r="79" ht="38" customHeight="1">
      <x:c r="A79" s="12" t="str">
        <x:v>KS-INJECTION-1000-S-202501-3</x:v>
      </x:c>
      <x:c r="B79" s="14" t="n">
        <x:v>45662</x:v>
      </x:c>
      <x:c r="C79" s="12" t="str">
        <x:v>模拟下游3</x:v>
      </x:c>
      <x:c r="D79" s="12" t="str">
        <x:v>工业塑料周转配件</x:v>
      </x:c>
      <x:c r="E79" s="13" t="n">
        <x:v>1293305</x:v>
      </x:c>
      <x:c r="F79" s="13" t="n">
        <x:v>168129</x:v>
      </x:c>
      <x:c r="G79" s="13" t="n">
        <x:v>1461434</x:v>
      </x:c>
      <x:c r="H79" s="13" t="n">
        <x:v>1461434</x:v>
      </x:c>
      <x:c r="I79" s="13" t="n">
        <x:v>0</x:v>
      </x:c>
      <x:c r="J79" s="14" t="n">
        <x:v>45667</x:v>
      </x:c>
      <x:c r="K79" s="12" t="str">
        <x:v>KS-INJECTION-1000-S-202501-3-INV</x:v>
      </x:c>
      <x:c r="L79" s="12" t="str">
        <x:v>KS-INJECTION-1000-S-202501-3-DEL</x:v>
      </x:c>
      <x:c r="M79" s="12" t="str">
        <x:v>SYNTHETIC</x:v>
      </x:c>
    </x:row>
    <x:row r="80" ht="38" customHeight="1">
      <x:c r="A80" s="12" t="str">
        <x:v>KS-INJECTION-1000-S-202502-1</x:v>
      </x:c>
      <x:c r="B80" s="14" t="n">
        <x:v>45693</x:v>
      </x:c>
      <x:c r="C80" s="12" t="str">
        <x:v>模拟下游1</x:v>
      </x:c>
      <x:c r="D80" s="12" t="str">
        <x:v>工业塑料周转配件</x:v>
      </x:c>
      <x:c r="E80" s="13" t="n">
        <x:v>1199247</x:v>
      </x:c>
      <x:c r="F80" s="13" t="n">
        <x:v>155902</x:v>
      </x:c>
      <x:c r="G80" s="13" t="n">
        <x:v>1355149</x:v>
      </x:c>
      <x:c r="H80" s="13" t="n">
        <x:v>1355149</x:v>
      </x:c>
      <x:c r="I80" s="13" t="n">
        <x:v>0</x:v>
      </x:c>
      <x:c r="J80" s="14" t="n">
        <x:v>45698</x:v>
      </x:c>
      <x:c r="K80" s="12" t="str">
        <x:v>KS-INJECTION-1000-S-202502-1-INV</x:v>
      </x:c>
      <x:c r="L80" s="12" t="str">
        <x:v>KS-INJECTION-1000-S-202502-1-DEL</x:v>
      </x:c>
      <x:c r="M80" s="12" t="str">
        <x:v>SYNTHETIC</x:v>
      </x:c>
    </x:row>
    <x:row r="81" ht="38" customHeight="1">
      <x:c r="A81" s="12" t="str">
        <x:v>KS-INJECTION-1000-S-202502-2</x:v>
      </x:c>
      <x:c r="B81" s="14" t="n">
        <x:v>45693</x:v>
      </x:c>
      <x:c r="C81" s="12" t="str">
        <x:v>模拟下游2</x:v>
      </x:c>
      <x:c r="D81" s="12" t="str">
        <x:v>工业塑料周转配件</x:v>
      </x:c>
      <x:c r="E81" s="13" t="n">
        <x:v>1163975</x:v>
      </x:c>
      <x:c r="F81" s="13" t="n">
        <x:v>151317</x:v>
      </x:c>
      <x:c r="G81" s="13" t="n">
        <x:v>1315292</x:v>
      </x:c>
      <x:c r="H81" s="13" t="n">
        <x:v>1315292</x:v>
      </x:c>
      <x:c r="I81" s="13" t="n">
        <x:v>0</x:v>
      </x:c>
      <x:c r="J81" s="14" t="n">
        <x:v>45698</x:v>
      </x:c>
      <x:c r="K81" s="12" t="str">
        <x:v>KS-INJECTION-1000-S-202502-2-INV</x:v>
      </x:c>
      <x:c r="L81" s="12" t="str">
        <x:v>KS-INJECTION-1000-S-202502-2-DEL</x:v>
      </x:c>
      <x:c r="M81" s="12" t="str">
        <x:v>SYNTHETIC</x:v>
      </x:c>
    </x:row>
    <x:row r="82" ht="38" customHeight="1">
      <x:c r="A82" s="12" t="str">
        <x:v>KS-INJECTION-1000-S-202502-3</x:v>
      </x:c>
      <x:c r="B82" s="14" t="n">
        <x:v>45693</x:v>
      </x:c>
      <x:c r="C82" s="12" t="str">
        <x:v>模拟下游3</x:v>
      </x:c>
      <x:c r="D82" s="12" t="str">
        <x:v>工业塑料周转配件</x:v>
      </x:c>
      <x:c r="E82" s="13" t="n">
        <x:v>1163974</x:v>
      </x:c>
      <x:c r="F82" s="13" t="n">
        <x:v>151316</x:v>
      </x:c>
      <x:c r="G82" s="13" t="n">
        <x:v>1315290</x:v>
      </x:c>
      <x:c r="H82" s="13" t="n">
        <x:v>1315290</x:v>
      </x:c>
      <x:c r="I82" s="13" t="n">
        <x:v>0</x:v>
      </x:c>
      <x:c r="J82" s="14" t="n">
        <x:v>45698</x:v>
      </x:c>
      <x:c r="K82" s="12" t="str">
        <x:v>KS-INJECTION-1000-S-202502-3-INV</x:v>
      </x:c>
      <x:c r="L82" s="12" t="str">
        <x:v>KS-INJECTION-1000-S-202502-3-DEL</x:v>
      </x:c>
      <x:c r="M82" s="12" t="str">
        <x:v>SYNTHETIC</x:v>
      </x:c>
    </x:row>
    <x:row r="83" ht="38" customHeight="1">
      <x:c r="A83" s="12" t="str">
        <x:v>KS-INJECTION-1000-S-202503-1</x:v>
      </x:c>
      <x:c r="B83" s="14" t="n">
        <x:v>45721</x:v>
      </x:c>
      <x:c r="C83" s="12" t="str">
        <x:v>模拟下游1</x:v>
      </x:c>
      <x:c r="D83" s="12" t="str">
        <x:v>工业塑料周转配件</x:v>
      </x:c>
      <x:c r="E83" s="13" t="n">
        <x:v>1698932</x:v>
      </x:c>
      <x:c r="F83" s="13" t="n">
        <x:v>220861</x:v>
      </x:c>
      <x:c r="G83" s="13" t="n">
        <x:v>1919793</x:v>
      </x:c>
      <x:c r="H83" s="13" t="n">
        <x:v>1919793</x:v>
      </x:c>
      <x:c r="I83" s="13" t="n">
        <x:v>0</x:v>
      </x:c>
      <x:c r="J83" s="14" t="n">
        <x:v>45726</x:v>
      </x:c>
      <x:c r="K83" s="12" t="str">
        <x:v>KS-INJECTION-1000-S-202503-1-INV</x:v>
      </x:c>
      <x:c r="L83" s="12" t="str">
        <x:v>KS-INJECTION-1000-S-202503-1-DEL</x:v>
      </x:c>
      <x:c r="M83" s="12" t="str">
        <x:v>SYNTHETIC</x:v>
      </x:c>
    </x:row>
    <x:row r="84" ht="38" customHeight="1">
      <x:c r="A84" s="12" t="str">
        <x:v>KS-INJECTION-1000-S-202503-2</x:v>
      </x:c>
      <x:c r="B84" s="14" t="n">
        <x:v>45721</x:v>
      </x:c>
      <x:c r="C84" s="12" t="str">
        <x:v>模拟下游2</x:v>
      </x:c>
      <x:c r="D84" s="12" t="str">
        <x:v>工业塑料周转配件</x:v>
      </x:c>
      <x:c r="E84" s="13" t="n">
        <x:v>1648964</x:v>
      </x:c>
      <x:c r="F84" s="13" t="n">
        <x:v>214365</x:v>
      </x:c>
      <x:c r="G84" s="13" t="n">
        <x:v>1863329</x:v>
      </x:c>
      <x:c r="H84" s="13" t="n">
        <x:v>1863329</x:v>
      </x:c>
      <x:c r="I84" s="13" t="n">
        <x:v>0</x:v>
      </x:c>
      <x:c r="J84" s="14" t="n">
        <x:v>45726</x:v>
      </x:c>
      <x:c r="K84" s="12" t="str">
        <x:v>KS-INJECTION-1000-S-202503-2-INV</x:v>
      </x:c>
      <x:c r="L84" s="12" t="str">
        <x:v>KS-INJECTION-1000-S-202503-2-DEL</x:v>
      </x:c>
      <x:c r="M84" s="12" t="str">
        <x:v>SYNTHETIC</x:v>
      </x:c>
    </x:row>
    <x:row r="85" ht="38" customHeight="1">
      <x:c r="A85" s="12" t="str">
        <x:v>KS-INJECTION-1000-S-202503-3</x:v>
      </x:c>
      <x:c r="B85" s="14" t="n">
        <x:v>45721</x:v>
      </x:c>
      <x:c r="C85" s="12" t="str">
        <x:v>模拟下游3</x:v>
      </x:c>
      <x:c r="D85" s="12" t="str">
        <x:v>工业塑料周转配件</x:v>
      </x:c>
      <x:c r="E85" s="13" t="n">
        <x:v>1648964</x:v>
      </x:c>
      <x:c r="F85" s="13" t="n">
        <x:v>214366</x:v>
      </x:c>
      <x:c r="G85" s="13" t="n">
        <x:v>1863330</x:v>
      </x:c>
      <x:c r="H85" s="13" t="n">
        <x:v>1863330</x:v>
      </x:c>
      <x:c r="I85" s="13" t="n">
        <x:v>0</x:v>
      </x:c>
      <x:c r="J85" s="14" t="n">
        <x:v>45726</x:v>
      </x:c>
      <x:c r="K85" s="12" t="str">
        <x:v>KS-INJECTION-1000-S-202503-3-INV</x:v>
      </x:c>
      <x:c r="L85" s="12" t="str">
        <x:v>KS-INJECTION-1000-S-202503-3-DEL</x:v>
      </x:c>
      <x:c r="M85" s="12" t="str">
        <x:v>SYNTHETIC</x:v>
      </x:c>
    </x:row>
    <x:row r="86" ht="38" customHeight="1">
      <x:c r="A86" s="12" t="str">
        <x:v>KS-INJECTION-1000-S-202504-1</x:v>
      </x:c>
      <x:c r="B86" s="14" t="n">
        <x:v>45752</x:v>
      </x:c>
      <x:c r="C86" s="12" t="str">
        <x:v>模拟下游1</x:v>
      </x:c>
      <x:c r="D86" s="12" t="str">
        <x:v>工业塑料周转配件</x:v>
      </x:c>
      <x:c r="E86" s="13" t="n">
        <x:v>1765555</x:v>
      </x:c>
      <x:c r="F86" s="13" t="n">
        <x:v>229522</x:v>
      </x:c>
      <x:c r="G86" s="13" t="n">
        <x:v>1995077</x:v>
      </x:c>
      <x:c r="H86" s="13" t="n">
        <x:v>1995077</x:v>
      </x:c>
      <x:c r="I86" s="13" t="n">
        <x:v>0</x:v>
      </x:c>
      <x:c r="J86" s="14" t="n">
        <x:v>45757</x:v>
      </x:c>
      <x:c r="K86" s="12" t="str">
        <x:v>KS-INJECTION-1000-S-202504-1-INV</x:v>
      </x:c>
      <x:c r="L86" s="12" t="str">
        <x:v>KS-INJECTION-1000-S-202504-1-DEL</x:v>
      </x:c>
      <x:c r="M86" s="12" t="str">
        <x:v>SYNTHETIC</x:v>
      </x:c>
    </x:row>
    <x:row r="87" ht="38" customHeight="1">
      <x:c r="A87" s="12" t="str">
        <x:v>KS-INJECTION-1000-S-202504-2</x:v>
      </x:c>
      <x:c r="B87" s="14" t="n">
        <x:v>45752</x:v>
      </x:c>
      <x:c r="C87" s="12" t="str">
        <x:v>模拟下游2</x:v>
      </x:c>
      <x:c r="D87" s="12" t="str">
        <x:v>工业塑料周转配件</x:v>
      </x:c>
      <x:c r="E87" s="13" t="n">
        <x:v>1713627</x:v>
      </x:c>
      <x:c r="F87" s="13" t="n">
        <x:v>222771</x:v>
      </x:c>
      <x:c r="G87" s="13" t="n">
        <x:v>1936398</x:v>
      </x:c>
      <x:c r="H87" s="13" t="n">
        <x:v>1936398</x:v>
      </x:c>
      <x:c r="I87" s="13" t="n">
        <x:v>0</x:v>
      </x:c>
      <x:c r="J87" s="14" t="n">
        <x:v>45757</x:v>
      </x:c>
      <x:c r="K87" s="12" t="str">
        <x:v>KS-INJECTION-1000-S-202504-2-INV</x:v>
      </x:c>
      <x:c r="L87" s="12" t="str">
        <x:v>KS-INJECTION-1000-S-202504-2-DEL</x:v>
      </x:c>
      <x:c r="M87" s="12" t="str">
        <x:v>SYNTHETIC</x:v>
      </x:c>
    </x:row>
    <x:row r="88" ht="38" customHeight="1">
      <x:c r="A88" s="12" t="str">
        <x:v>KS-INJECTION-1000-S-202504-3</x:v>
      </x:c>
      <x:c r="B88" s="14" t="n">
        <x:v>45752</x:v>
      </x:c>
      <x:c r="C88" s="12" t="str">
        <x:v>模拟下游3</x:v>
      </x:c>
      <x:c r="D88" s="12" t="str">
        <x:v>工业塑料周转配件</x:v>
      </x:c>
      <x:c r="E88" s="13" t="n">
        <x:v>1713626</x:v>
      </x:c>
      <x:c r="F88" s="13" t="n">
        <x:v>222772</x:v>
      </x:c>
      <x:c r="G88" s="13" t="n">
        <x:v>1936398</x:v>
      </x:c>
      <x:c r="H88" s="13" t="n">
        <x:v>1936398</x:v>
      </x:c>
      <x:c r="I88" s="13" t="n">
        <x:v>0</x:v>
      </x:c>
      <x:c r="J88" s="14" t="n">
        <x:v>45757</x:v>
      </x:c>
      <x:c r="K88" s="12" t="str">
        <x:v>KS-INJECTION-1000-S-202504-3-INV</x:v>
      </x:c>
      <x:c r="L88" s="12" t="str">
        <x:v>KS-INJECTION-1000-S-202504-3-DEL</x:v>
      </x:c>
      <x:c r="M88" s="12" t="str">
        <x:v>SYNTHETIC</x:v>
      </x:c>
    </x:row>
    <x:row r="89" ht="38" customHeight="1">
      <x:c r="A89" s="12" t="str">
        <x:v>KS-INJECTION-1000-S-202505-1</x:v>
      </x:c>
      <x:c r="B89" s="14" t="n">
        <x:v>45782</x:v>
      </x:c>
      <x:c r="C89" s="12" t="str">
        <x:v>模拟下游1</x:v>
      </x:c>
      <x:c r="D89" s="12" t="str">
        <x:v>工业塑料周转配件</x:v>
      </x:c>
      <x:c r="E89" s="13" t="n">
        <x:v>1832181</x:v>
      </x:c>
      <x:c r="F89" s="13" t="n">
        <x:v>238184</x:v>
      </x:c>
      <x:c r="G89" s="13" t="n">
        <x:v>2070365</x:v>
      </x:c>
      <x:c r="H89" s="13" t="n">
        <x:v>2070365</x:v>
      </x:c>
      <x:c r="I89" s="13" t="n">
        <x:v>0</x:v>
      </x:c>
      <x:c r="J89" s="14" t="n">
        <x:v>45787</x:v>
      </x:c>
      <x:c r="K89" s="12" t="str">
        <x:v>KS-INJECTION-1000-S-202505-1-INV</x:v>
      </x:c>
      <x:c r="L89" s="12" t="str">
        <x:v>KS-INJECTION-1000-S-202505-1-DEL</x:v>
      </x:c>
      <x:c r="M89" s="12" t="str">
        <x:v>SYNTHETIC</x:v>
      </x:c>
    </x:row>
    <x:row r="90" ht="38" customHeight="1">
      <x:c r="A90" s="12" t="str">
        <x:v>KS-INJECTION-1000-S-202505-2</x:v>
      </x:c>
      <x:c r="B90" s="14" t="n">
        <x:v>45782</x:v>
      </x:c>
      <x:c r="C90" s="12" t="str">
        <x:v>模拟下游2</x:v>
      </x:c>
      <x:c r="D90" s="12" t="str">
        <x:v>工业塑料周转配件</x:v>
      </x:c>
      <x:c r="E90" s="13" t="n">
        <x:v>1778293</x:v>
      </x:c>
      <x:c r="F90" s="13" t="n">
        <x:v>231178</x:v>
      </x:c>
      <x:c r="G90" s="13" t="n">
        <x:v>2009471</x:v>
      </x:c>
      <x:c r="H90" s="13" t="n">
        <x:v>2009471</x:v>
      </x:c>
      <x:c r="I90" s="13" t="n">
        <x:v>0</x:v>
      </x:c>
      <x:c r="J90" s="14" t="n">
        <x:v>45787</x:v>
      </x:c>
      <x:c r="K90" s="12" t="str">
        <x:v>KS-INJECTION-1000-S-202505-2-INV</x:v>
      </x:c>
      <x:c r="L90" s="12" t="str">
        <x:v>KS-INJECTION-1000-S-202505-2-DEL</x:v>
      </x:c>
      <x:c r="M90" s="12" t="str">
        <x:v>SYNTHETIC</x:v>
      </x:c>
    </x:row>
    <x:row r="91" ht="38" customHeight="1">
      <x:c r="A91" s="12" t="str">
        <x:v>KS-INJECTION-1000-S-202505-3</x:v>
      </x:c>
      <x:c r="B91" s="14" t="n">
        <x:v>45782</x:v>
      </x:c>
      <x:c r="C91" s="12" t="str">
        <x:v>模拟下游3</x:v>
      </x:c>
      <x:c r="D91" s="12" t="str">
        <x:v>工业塑料周转配件</x:v>
      </x:c>
      <x:c r="E91" s="13" t="n">
        <x:v>1778294</x:v>
      </x:c>
      <x:c r="F91" s="13" t="n">
        <x:v>231178</x:v>
      </x:c>
      <x:c r="G91" s="13" t="n">
        <x:v>2009472</x:v>
      </x:c>
      <x:c r="H91" s="13" t="n">
        <x:v>2009472</x:v>
      </x:c>
      <x:c r="I91" s="13" t="n">
        <x:v>0</x:v>
      </x:c>
      <x:c r="J91" s="14" t="n">
        <x:v>45787</x:v>
      </x:c>
      <x:c r="K91" s="12" t="str">
        <x:v>KS-INJECTION-1000-S-202505-3-INV</x:v>
      </x:c>
      <x:c r="L91" s="12" t="str">
        <x:v>KS-INJECTION-1000-S-202505-3-DEL</x:v>
      </x:c>
      <x:c r="M91" s="12" t="str">
        <x:v>SYNTHETIC</x:v>
      </x:c>
    </x:row>
    <x:row r="92" ht="38" customHeight="1">
      <x:c r="A92" s="12" t="str">
        <x:v>KS-INJECTION-1000-S-202506-1</x:v>
      </x:c>
      <x:c r="B92" s="14" t="n">
        <x:v>45813</x:v>
      </x:c>
      <x:c r="C92" s="12" t="str">
        <x:v>模拟下游1</x:v>
      </x:c>
      <x:c r="D92" s="12" t="str">
        <x:v>工业塑料周转配件</x:v>
      </x:c>
      <x:c r="E92" s="13" t="n">
        <x:v>1748900</x:v>
      </x:c>
      <x:c r="F92" s="13" t="n">
        <x:v>227357</x:v>
      </x:c>
      <x:c r="G92" s="13" t="n">
        <x:v>1976257</x:v>
      </x:c>
      <x:c r="H92" s="13" t="n">
        <x:v>1976257</x:v>
      </x:c>
      <x:c r="I92" s="13" t="n">
        <x:v>0</x:v>
      </x:c>
      <x:c r="J92" s="14" t="n">
        <x:v>45818</x:v>
      </x:c>
      <x:c r="K92" s="12" t="str">
        <x:v>KS-INJECTION-1000-S-202506-1-INV</x:v>
      </x:c>
      <x:c r="L92" s="12" t="str">
        <x:v>KS-INJECTION-1000-S-202506-1-DEL</x:v>
      </x:c>
      <x:c r="M92" s="12" t="str">
        <x:v>SYNTHETIC</x:v>
      </x:c>
    </x:row>
    <x:row r="93" ht="38" customHeight="1">
      <x:c r="A93" s="12" t="str">
        <x:v>KS-INJECTION-1000-S-202506-2</x:v>
      </x:c>
      <x:c r="B93" s="14" t="n">
        <x:v>45813</x:v>
      </x:c>
      <x:c r="C93" s="12" t="str">
        <x:v>模拟下游2</x:v>
      </x:c>
      <x:c r="D93" s="12" t="str">
        <x:v>工业塑料周转配件</x:v>
      </x:c>
      <x:c r="E93" s="13" t="n">
        <x:v>1697462</x:v>
      </x:c>
      <x:c r="F93" s="13" t="n">
        <x:v>220670</x:v>
      </x:c>
      <x:c r="G93" s="13" t="n">
        <x:v>1918132</x:v>
      </x:c>
      <x:c r="H93" s="13" t="n">
        <x:v>1918132</x:v>
      </x:c>
      <x:c r="I93" s="13" t="n">
        <x:v>0</x:v>
      </x:c>
      <x:c r="J93" s="14" t="n">
        <x:v>45818</x:v>
      </x:c>
      <x:c r="K93" s="12" t="str">
        <x:v>KS-INJECTION-1000-S-202506-2-INV</x:v>
      </x:c>
      <x:c r="L93" s="12" t="str">
        <x:v>KS-INJECTION-1000-S-202506-2-DEL</x:v>
      </x:c>
      <x:c r="M93" s="12" t="str">
        <x:v>SYNTHETIC</x:v>
      </x:c>
    </x:row>
    <x:row r="94" ht="38" customHeight="1">
      <x:c r="A94" s="12" t="str">
        <x:v>KS-INJECTION-1000-S-202506-3</x:v>
      </x:c>
      <x:c r="B94" s="14" t="n">
        <x:v>45813</x:v>
      </x:c>
      <x:c r="C94" s="12" t="str">
        <x:v>模拟下游3</x:v>
      </x:c>
      <x:c r="D94" s="12" t="str">
        <x:v>工业塑料周转配件</x:v>
      </x:c>
      <x:c r="E94" s="13" t="n">
        <x:v>1697462</x:v>
      </x:c>
      <x:c r="F94" s="13" t="n">
        <x:v>220670</x:v>
      </x:c>
      <x:c r="G94" s="13" t="n">
        <x:v>1918132</x:v>
      </x:c>
      <x:c r="H94" s="13" t="n">
        <x:v>1918132</x:v>
      </x:c>
      <x:c r="I94" s="13" t="n">
        <x:v>0</x:v>
      </x:c>
      <x:c r="J94" s="14" t="n">
        <x:v>45818</x:v>
      </x:c>
      <x:c r="K94" s="12" t="str">
        <x:v>KS-INJECTION-1000-S-202506-3-INV</x:v>
      </x:c>
      <x:c r="L94" s="12" t="str">
        <x:v>KS-INJECTION-1000-S-202506-3-DEL</x:v>
      </x:c>
      <x:c r="M94" s="12" t="str">
        <x:v>SYNTHETIC</x:v>
      </x:c>
    </x:row>
    <x:row r="95" ht="38" customHeight="1">
      <x:c r="A95" s="12" t="str">
        <x:v>KS-INJECTION-1000-S-202507-1</x:v>
      </x:c>
      <x:c r="B95" s="14" t="n">
        <x:v>45843</x:v>
      </x:c>
      <x:c r="C95" s="12" t="str">
        <x:v>模拟下游1</x:v>
      </x:c>
      <x:c r="D95" s="12" t="str">
        <x:v>工业塑料周转配件</x:v>
      </x:c>
      <x:c r="E95" s="13" t="n">
        <x:v>1798868</x:v>
      </x:c>
      <x:c r="F95" s="13" t="n">
        <x:v>233853</x:v>
      </x:c>
      <x:c r="G95" s="13" t="n">
        <x:v>2032721</x:v>
      </x:c>
      <x:c r="H95" s="13" t="n">
        <x:v>2032721</x:v>
      </x:c>
      <x:c r="I95" s="13" t="n">
        <x:v>0</x:v>
      </x:c>
      <x:c r="J95" s="14" t="n">
        <x:v>45848</x:v>
      </x:c>
      <x:c r="K95" s="12" t="str">
        <x:v>KS-INJECTION-1000-S-202507-1-INV</x:v>
      </x:c>
      <x:c r="L95" s="12" t="str">
        <x:v>KS-INJECTION-1000-S-202507-1-DEL</x:v>
      </x:c>
      <x:c r="M95" s="12" t="str">
        <x:v>SYNTHETIC</x:v>
      </x:c>
    </x:row>
    <x:row r="96" ht="38" customHeight="1">
      <x:c r="A96" s="12" t="str">
        <x:v>KS-INJECTION-1000-S-202507-2</x:v>
      </x:c>
      <x:c r="B96" s="14" t="n">
        <x:v>45843</x:v>
      </x:c>
      <x:c r="C96" s="12" t="str">
        <x:v>模拟下游2</x:v>
      </x:c>
      <x:c r="D96" s="12" t="str">
        <x:v>工业塑料周转配件</x:v>
      </x:c>
      <x:c r="E96" s="13" t="n">
        <x:v>1745960</x:v>
      </x:c>
      <x:c r="F96" s="13" t="n">
        <x:v>226975</x:v>
      </x:c>
      <x:c r="G96" s="13" t="n">
        <x:v>1972935</x:v>
      </x:c>
      <x:c r="H96" s="13" t="n">
        <x:v>1972935</x:v>
      </x:c>
      <x:c r="I96" s="13" t="n">
        <x:v>0</x:v>
      </x:c>
      <x:c r="J96" s="14" t="n">
        <x:v>45848</x:v>
      </x:c>
      <x:c r="K96" s="12" t="str">
        <x:v>KS-INJECTION-1000-S-202507-2-INV</x:v>
      </x:c>
      <x:c r="L96" s="12" t="str">
        <x:v>KS-INJECTION-1000-S-202507-2-DEL</x:v>
      </x:c>
      <x:c r="M96" s="12" t="str">
        <x:v>SYNTHETIC</x:v>
      </x:c>
    </x:row>
    <x:row r="97" ht="38" customHeight="1">
      <x:c r="A97" s="12" t="str">
        <x:v>KS-INJECTION-1000-S-202507-3</x:v>
      </x:c>
      <x:c r="B97" s="14" t="n">
        <x:v>45843</x:v>
      </x:c>
      <x:c r="C97" s="12" t="str">
        <x:v>模拟下游3</x:v>
      </x:c>
      <x:c r="D97" s="12" t="str">
        <x:v>工业塑料周转配件</x:v>
      </x:c>
      <x:c r="E97" s="13" t="n">
        <x:v>1745960</x:v>
      </x:c>
      <x:c r="F97" s="13" t="n">
        <x:v>226974</x:v>
      </x:c>
      <x:c r="G97" s="13" t="n">
        <x:v>1972934</x:v>
      </x:c>
      <x:c r="H97" s="13" t="n">
        <x:v>1972934</x:v>
      </x:c>
      <x:c r="I97" s="13" t="n">
        <x:v>0</x:v>
      </x:c>
      <x:c r="J97" s="14" t="n">
        <x:v>45848</x:v>
      </x:c>
      <x:c r="K97" s="12" t="str">
        <x:v>KS-INJECTION-1000-S-202507-3-INV</x:v>
      </x:c>
      <x:c r="L97" s="12" t="str">
        <x:v>KS-INJECTION-1000-S-202507-3-DEL</x:v>
      </x:c>
      <x:c r="M97" s="12" t="str">
        <x:v>SYNTHETIC</x:v>
      </x:c>
    </x:row>
    <x:row r="98" ht="38" customHeight="1">
      <x:c r="A98" s="12" t="str">
        <x:v>KS-INJECTION-1000-S-202508-1</x:v>
      </x:c>
      <x:c r="B98" s="14" t="n">
        <x:v>45874</x:v>
      </x:c>
      <x:c r="C98" s="12" t="str">
        <x:v>模拟下游1</x:v>
      </x:c>
      <x:c r="D98" s="12" t="str">
        <x:v>工业塑料周转配件</x:v>
      </x:c>
      <x:c r="E98" s="13" t="n">
        <x:v>1798868</x:v>
      </x:c>
      <x:c r="F98" s="13" t="n">
        <x:v>233853</x:v>
      </x:c>
      <x:c r="G98" s="13" t="n">
        <x:v>2032721</x:v>
      </x:c>
      <x:c r="H98" s="13" t="n">
        <x:v>2032721</x:v>
      </x:c>
      <x:c r="I98" s="13" t="n">
        <x:v>0</x:v>
      </x:c>
      <x:c r="J98" s="14" t="n">
        <x:v>45879</x:v>
      </x:c>
      <x:c r="K98" s="12" t="str">
        <x:v>KS-INJECTION-1000-S-202508-1-INV</x:v>
      </x:c>
      <x:c r="L98" s="12" t="str">
        <x:v>KS-INJECTION-1000-S-202508-1-DEL</x:v>
      </x:c>
      <x:c r="M98" s="12" t="str">
        <x:v>SYNTHETIC</x:v>
      </x:c>
    </x:row>
    <x:row r="99" ht="38" customHeight="1">
      <x:c r="A99" s="12" t="str">
        <x:v>KS-INJECTION-1000-S-202508-2</x:v>
      </x:c>
      <x:c r="B99" s="14" t="n">
        <x:v>45874</x:v>
      </x:c>
      <x:c r="C99" s="12" t="str">
        <x:v>模拟下游2</x:v>
      </x:c>
      <x:c r="D99" s="12" t="str">
        <x:v>工业塑料周转配件</x:v>
      </x:c>
      <x:c r="E99" s="13" t="n">
        <x:v>1745960</x:v>
      </x:c>
      <x:c r="F99" s="13" t="n">
        <x:v>226975</x:v>
      </x:c>
      <x:c r="G99" s="13" t="n">
        <x:v>1972935</x:v>
      </x:c>
      <x:c r="H99" s="13" t="n">
        <x:v>1972935</x:v>
      </x:c>
      <x:c r="I99" s="13" t="n">
        <x:v>0</x:v>
      </x:c>
      <x:c r="J99" s="14" t="n">
        <x:v>45879</x:v>
      </x:c>
      <x:c r="K99" s="12" t="str">
        <x:v>KS-INJECTION-1000-S-202508-2-INV</x:v>
      </x:c>
      <x:c r="L99" s="12" t="str">
        <x:v>KS-INJECTION-1000-S-202508-2-DEL</x:v>
      </x:c>
      <x:c r="M99" s="12" t="str">
        <x:v>SYNTHETIC</x:v>
      </x:c>
    </x:row>
    <x:row r="100" ht="38" customHeight="1">
      <x:c r="A100" s="12" t="str">
        <x:v>KS-INJECTION-1000-S-202508-3</x:v>
      </x:c>
      <x:c r="B100" s="14" t="n">
        <x:v>45874</x:v>
      </x:c>
      <x:c r="C100" s="12" t="str">
        <x:v>模拟下游3</x:v>
      </x:c>
      <x:c r="D100" s="12" t="str">
        <x:v>工业塑料周转配件</x:v>
      </x:c>
      <x:c r="E100" s="13" t="n">
        <x:v>1745960</x:v>
      </x:c>
      <x:c r="F100" s="13" t="n">
        <x:v>226974</x:v>
      </x:c>
      <x:c r="G100" s="13" t="n">
        <x:v>1972934</x:v>
      </x:c>
      <x:c r="H100" s="13" t="n">
        <x:v>1972934</x:v>
      </x:c>
      <x:c r="I100" s="13" t="n">
        <x:v>0</x:v>
      </x:c>
      <x:c r="J100" s="14" t="n">
        <x:v>45879</x:v>
      </x:c>
      <x:c r="K100" s="12" t="str">
        <x:v>KS-INJECTION-1000-S-202508-3-INV</x:v>
      </x:c>
      <x:c r="L100" s="12" t="str">
        <x:v>KS-INJECTION-1000-S-202508-3-DEL</x:v>
      </x:c>
      <x:c r="M100" s="12" t="str">
        <x:v>SYNTHETIC</x:v>
      </x:c>
    </x:row>
    <x:row r="101" ht="38" customHeight="1">
      <x:c r="A101" s="12" t="str">
        <x:v>KS-INJECTION-1000-S-202509-1</x:v>
      </x:c>
      <x:c r="B101" s="14" t="n">
        <x:v>45905</x:v>
      </x:c>
      <x:c r="C101" s="12" t="str">
        <x:v>模拟下游1</x:v>
      </x:c>
      <x:c r="D101" s="12" t="str">
        <x:v>工业塑料周转配件</x:v>
      </x:c>
      <x:c r="E101" s="13" t="n">
        <x:v>1732246</x:v>
      </x:c>
      <x:c r="F101" s="13" t="n">
        <x:v>225192</x:v>
      </x:c>
      <x:c r="G101" s="13" t="n">
        <x:v>1957438</x:v>
      </x:c>
      <x:c r="H101" s="13" t="n">
        <x:v>1957438</x:v>
      </x:c>
      <x:c r="I101" s="13" t="n">
        <x:v>0</x:v>
      </x:c>
      <x:c r="J101" s="14" t="n">
        <x:v>45910</x:v>
      </x:c>
      <x:c r="K101" s="12" t="str">
        <x:v>KS-INJECTION-1000-S-202509-1-INV</x:v>
      </x:c>
      <x:c r="L101" s="12" t="str">
        <x:v>KS-INJECTION-1000-S-202509-1-DEL</x:v>
      </x:c>
      <x:c r="M101" s="12" t="str">
        <x:v>SYNTHETIC</x:v>
      </x:c>
    </x:row>
    <x:row r="102" ht="38" customHeight="1">
      <x:c r="A102" s="12" t="str">
        <x:v>KS-INJECTION-1000-S-202509-2</x:v>
      </x:c>
      <x:c r="B102" s="14" t="n">
        <x:v>45905</x:v>
      </x:c>
      <x:c r="C102" s="12" t="str">
        <x:v>模拟下游2</x:v>
      </x:c>
      <x:c r="D102" s="12" t="str">
        <x:v>工业塑料周转配件</x:v>
      </x:c>
      <x:c r="E102" s="13" t="n">
        <x:v>1681297</x:v>
      </x:c>
      <x:c r="F102" s="13" t="n">
        <x:v>218569</x:v>
      </x:c>
      <x:c r="G102" s="13" t="n">
        <x:v>1899866</x:v>
      </x:c>
      <x:c r="H102" s="13" t="n">
        <x:v>1899866</x:v>
      </x:c>
      <x:c r="I102" s="13" t="n">
        <x:v>0</x:v>
      </x:c>
      <x:c r="J102" s="14" t="n">
        <x:v>45910</x:v>
      </x:c>
      <x:c r="K102" s="12" t="str">
        <x:v>KS-INJECTION-1000-S-202509-2-INV</x:v>
      </x:c>
      <x:c r="L102" s="12" t="str">
        <x:v>KS-INJECTION-1000-S-202509-2-DEL</x:v>
      </x:c>
      <x:c r="M102" s="12" t="str">
        <x:v>SYNTHETIC</x:v>
      </x:c>
    </x:row>
    <x:row r="103" ht="38" customHeight="1">
      <x:c r="A103" s="12" t="str">
        <x:v>KS-INJECTION-1000-S-202509-3</x:v>
      </x:c>
      <x:c r="B103" s="14" t="n">
        <x:v>45905</x:v>
      </x:c>
      <x:c r="C103" s="12" t="str">
        <x:v>模拟下游3</x:v>
      </x:c>
      <x:c r="D103" s="12" t="str">
        <x:v>工业塑料周转配件</x:v>
      </x:c>
      <x:c r="E103" s="13" t="n">
        <x:v>1681297</x:v>
      </x:c>
      <x:c r="F103" s="13" t="n">
        <x:v>218568</x:v>
      </x:c>
      <x:c r="G103" s="13" t="n">
        <x:v>1899865</x:v>
      </x:c>
      <x:c r="H103" s="13" t="n">
        <x:v>1899865</x:v>
      </x:c>
      <x:c r="I103" s="13" t="n">
        <x:v>0</x:v>
      </x:c>
      <x:c r="J103" s="14" t="n">
        <x:v>45910</x:v>
      </x:c>
      <x:c r="K103" s="12" t="str">
        <x:v>KS-INJECTION-1000-S-202509-3-INV</x:v>
      </x:c>
      <x:c r="L103" s="12" t="str">
        <x:v>KS-INJECTION-1000-S-202509-3-DEL</x:v>
      </x:c>
      <x:c r="M103" s="12" t="str">
        <x:v>SYNTHETIC</x:v>
      </x:c>
    </x:row>
    <x:row r="104" ht="38" customHeight="1">
      <x:c r="A104" s="12" t="str">
        <x:v>KS-INJECTION-1000-S-202510-1</x:v>
      </x:c>
      <x:c r="B104" s="14" t="n">
        <x:v>45935</x:v>
      </x:c>
      <x:c r="C104" s="12" t="str">
        <x:v>模拟下游1</x:v>
      </x:c>
      <x:c r="D104" s="12" t="str">
        <x:v>工业塑料周转配件</x:v>
      </x:c>
      <x:c r="E104" s="13" t="n">
        <x:v>1698932</x:v>
      </x:c>
      <x:c r="F104" s="13" t="n">
        <x:v>220861</x:v>
      </x:c>
      <x:c r="G104" s="13" t="n">
        <x:v>1919793</x:v>
      </x:c>
      <x:c r="H104" s="13" t="n">
        <x:v>1919793</x:v>
      </x:c>
      <x:c r="I104" s="13" t="n">
        <x:v>0</x:v>
      </x:c>
      <x:c r="J104" s="14" t="n">
        <x:v>45940</x:v>
      </x:c>
      <x:c r="K104" s="12" t="str">
        <x:v>KS-INJECTION-1000-S-202510-1-INV</x:v>
      </x:c>
      <x:c r="L104" s="12" t="str">
        <x:v>KS-INJECTION-1000-S-202510-1-DEL</x:v>
      </x:c>
      <x:c r="M104" s="12" t="str">
        <x:v>SYNTHETIC</x:v>
      </x:c>
    </x:row>
    <x:row r="105" ht="38" customHeight="1">
      <x:c r="A105" s="12" t="str">
        <x:v>KS-INJECTION-1000-S-202510-2</x:v>
      </x:c>
      <x:c r="B105" s="14" t="n">
        <x:v>45935</x:v>
      </x:c>
      <x:c r="C105" s="12" t="str">
        <x:v>模拟下游2</x:v>
      </x:c>
      <x:c r="D105" s="12" t="str">
        <x:v>工业塑料周转配件</x:v>
      </x:c>
      <x:c r="E105" s="13" t="n">
        <x:v>1648964</x:v>
      </x:c>
      <x:c r="F105" s="13" t="n">
        <x:v>214365</x:v>
      </x:c>
      <x:c r="G105" s="13" t="n">
        <x:v>1863329</x:v>
      </x:c>
      <x:c r="H105" s="13" t="n">
        <x:v>1863329</x:v>
      </x:c>
      <x:c r="I105" s="13" t="n">
        <x:v>0</x:v>
      </x:c>
      <x:c r="J105" s="14" t="n">
        <x:v>45940</x:v>
      </x:c>
      <x:c r="K105" s="12" t="str">
        <x:v>KS-INJECTION-1000-S-202510-2-INV</x:v>
      </x:c>
      <x:c r="L105" s="12" t="str">
        <x:v>KS-INJECTION-1000-S-202510-2-DEL</x:v>
      </x:c>
      <x:c r="M105" s="12" t="str">
        <x:v>SYNTHETIC</x:v>
      </x:c>
    </x:row>
    <x:row r="106" ht="38" customHeight="1">
      <x:c r="A106" s="12" t="str">
        <x:v>KS-INJECTION-1000-S-202510-3</x:v>
      </x:c>
      <x:c r="B106" s="14" t="n">
        <x:v>45935</x:v>
      </x:c>
      <x:c r="C106" s="12" t="str">
        <x:v>模拟下游3</x:v>
      </x:c>
      <x:c r="D106" s="12" t="str">
        <x:v>工业塑料周转配件</x:v>
      </x:c>
      <x:c r="E106" s="13" t="n">
        <x:v>1648964</x:v>
      </x:c>
      <x:c r="F106" s="13" t="n">
        <x:v>214366</x:v>
      </x:c>
      <x:c r="G106" s="13" t="n">
        <x:v>1863330</x:v>
      </x:c>
      <x:c r="H106" s="13" t="n">
        <x:v>1863330</x:v>
      </x:c>
      <x:c r="I106" s="13" t="n">
        <x:v>0</x:v>
      </x:c>
      <x:c r="J106" s="14" t="n">
        <x:v>45940</x:v>
      </x:c>
      <x:c r="K106" s="12" t="str">
        <x:v>KS-INJECTION-1000-S-202510-3-INV</x:v>
      </x:c>
      <x:c r="L106" s="12" t="str">
        <x:v>KS-INJECTION-1000-S-202510-3-DEL</x:v>
      </x:c>
      <x:c r="M106" s="12" t="str">
        <x:v>SYNTHETIC</x:v>
      </x:c>
    </x:row>
    <x:row r="107" ht="38" customHeight="1">
      <x:c r="A107" s="12" t="str">
        <x:v>KS-INJECTION-1000-S-202511-1</x:v>
      </x:c>
      <x:c r="B107" s="14" t="n">
        <x:v>45966</x:v>
      </x:c>
      <x:c r="C107" s="12" t="str">
        <x:v>模拟下游1</x:v>
      </x:c>
      <x:c r="D107" s="12" t="str">
        <x:v>工业塑料周转配件</x:v>
      </x:c>
      <x:c r="E107" s="13" t="n">
        <x:v>1765555</x:v>
      </x:c>
      <x:c r="F107" s="13" t="n">
        <x:v>229522</x:v>
      </x:c>
      <x:c r="G107" s="13" t="n">
        <x:v>1995077</x:v>
      </x:c>
      <x:c r="H107" s="13" t="n">
        <x:v>1995077</x:v>
      </x:c>
      <x:c r="I107" s="13" t="n">
        <x:v>0</x:v>
      </x:c>
      <x:c r="J107" s="14" t="n">
        <x:v>45971</x:v>
      </x:c>
      <x:c r="K107" s="12" t="str">
        <x:v>KS-INJECTION-1000-S-202511-1-INV</x:v>
      </x:c>
      <x:c r="L107" s="12" t="str">
        <x:v>KS-INJECTION-1000-S-202511-1-DEL</x:v>
      </x:c>
      <x:c r="M107" s="12" t="str">
        <x:v>SYNTHETIC</x:v>
      </x:c>
    </x:row>
    <x:row r="108" ht="38" customHeight="1">
      <x:c r="A108" s="12" t="str">
        <x:v>KS-INJECTION-1000-S-202511-2</x:v>
      </x:c>
      <x:c r="B108" s="14" t="n">
        <x:v>45966</x:v>
      </x:c>
      <x:c r="C108" s="12" t="str">
        <x:v>模拟下游2</x:v>
      </x:c>
      <x:c r="D108" s="12" t="str">
        <x:v>工业塑料周转配件</x:v>
      </x:c>
      <x:c r="E108" s="13" t="n">
        <x:v>1713627</x:v>
      </x:c>
      <x:c r="F108" s="13" t="n">
        <x:v>222771</x:v>
      </x:c>
      <x:c r="G108" s="13" t="n">
        <x:v>1936398</x:v>
      </x:c>
      <x:c r="H108" s="13" t="n">
        <x:v>1936398</x:v>
      </x:c>
      <x:c r="I108" s="13" t="n">
        <x:v>0</x:v>
      </x:c>
      <x:c r="J108" s="14" t="n">
        <x:v>45971</x:v>
      </x:c>
      <x:c r="K108" s="12" t="str">
        <x:v>KS-INJECTION-1000-S-202511-2-INV</x:v>
      </x:c>
      <x:c r="L108" s="12" t="str">
        <x:v>KS-INJECTION-1000-S-202511-2-DEL</x:v>
      </x:c>
      <x:c r="M108" s="12" t="str">
        <x:v>SYNTHETIC</x:v>
      </x:c>
    </x:row>
    <x:row r="109" ht="38" customHeight="1">
      <x:c r="A109" s="12" t="str">
        <x:v>KS-INJECTION-1000-S-202511-3</x:v>
      </x:c>
      <x:c r="B109" s="14" t="n">
        <x:v>45966</x:v>
      </x:c>
      <x:c r="C109" s="12" t="str">
        <x:v>模拟下游3</x:v>
      </x:c>
      <x:c r="D109" s="12" t="str">
        <x:v>工业塑料周转配件</x:v>
      </x:c>
      <x:c r="E109" s="13" t="n">
        <x:v>1713626</x:v>
      </x:c>
      <x:c r="F109" s="13" t="n">
        <x:v>222772</x:v>
      </x:c>
      <x:c r="G109" s="13" t="n">
        <x:v>1936398</x:v>
      </x:c>
      <x:c r="H109" s="13" t="n">
        <x:v>1936398</x:v>
      </x:c>
      <x:c r="I109" s="13" t="n">
        <x:v>0</x:v>
      </x:c>
      <x:c r="J109" s="14" t="n">
        <x:v>45971</x:v>
      </x:c>
      <x:c r="K109" s="12" t="str">
        <x:v>KS-INJECTION-1000-S-202511-3-INV</x:v>
      </x:c>
      <x:c r="L109" s="12" t="str">
        <x:v>KS-INJECTION-1000-S-202511-3-DEL</x:v>
      </x:c>
      <x:c r="M109" s="12" t="str">
        <x:v>SYNTHETIC</x:v>
      </x:c>
    </x:row>
    <x:row r="110" ht="38" customHeight="1">
      <x:c r="A110" s="12" t="str">
        <x:v>KS-INJECTION-1000-S-202512-1</x:v>
      </x:c>
      <x:c r="B110" s="14" t="n">
        <x:v>45996</x:v>
      </x:c>
      <x:c r="C110" s="12" t="str">
        <x:v>模拟下游1</x:v>
      </x:c>
      <x:c r="D110" s="12" t="str">
        <x:v>工业塑料周转配件</x:v>
      </x:c>
      <x:c r="E110" s="13" t="n">
        <x:v>1832181</x:v>
      </x:c>
      <x:c r="F110" s="13" t="n">
        <x:v>238184</x:v>
      </x:c>
      <x:c r="G110" s="13" t="n">
        <x:v>2070365</x:v>
      </x:c>
      <x:c r="H110" s="13" t="n">
        <x:v>2070365</x:v>
      </x:c>
      <x:c r="I110" s="13" t="n">
        <x:v>0</x:v>
      </x:c>
      <x:c r="J110" s="14" t="n">
        <x:v>46001</x:v>
      </x:c>
      <x:c r="K110" s="12" t="str">
        <x:v>KS-INJECTION-1000-S-202512-1-INV</x:v>
      </x:c>
      <x:c r="L110" s="12" t="str">
        <x:v>KS-INJECTION-1000-S-202512-1-DEL</x:v>
      </x:c>
      <x:c r="M110" s="12" t="str">
        <x:v>SYNTHETIC</x:v>
      </x:c>
    </x:row>
    <x:row r="111" ht="38" customHeight="1">
      <x:c r="A111" s="12" t="str">
        <x:v>KS-INJECTION-1000-S-202512-2</x:v>
      </x:c>
      <x:c r="B111" s="14" t="n">
        <x:v>45996</x:v>
      </x:c>
      <x:c r="C111" s="12" t="str">
        <x:v>模拟下游2</x:v>
      </x:c>
      <x:c r="D111" s="12" t="str">
        <x:v>工业塑料周转配件</x:v>
      </x:c>
      <x:c r="E111" s="13" t="n">
        <x:v>1778293</x:v>
      </x:c>
      <x:c r="F111" s="13" t="n">
        <x:v>231178</x:v>
      </x:c>
      <x:c r="G111" s="13" t="n">
        <x:v>2009471</x:v>
      </x:c>
      <x:c r="H111" s="13" t="n">
        <x:v>2009471</x:v>
      </x:c>
      <x:c r="I111" s="13" t="n">
        <x:v>0</x:v>
      </x:c>
      <x:c r="J111" s="14" t="n">
        <x:v>46001</x:v>
      </x:c>
      <x:c r="K111" s="12" t="str">
        <x:v>KS-INJECTION-1000-S-202512-2-INV</x:v>
      </x:c>
      <x:c r="L111" s="12" t="str">
        <x:v>KS-INJECTION-1000-S-202512-2-DEL</x:v>
      </x:c>
      <x:c r="M111" s="12" t="str">
        <x:v>SYNTHETIC</x:v>
      </x:c>
    </x:row>
    <x:row r="112" ht="38" customHeight="1">
      <x:c r="A112" s="12" t="str">
        <x:v>KS-INJECTION-1000-S-202512-3</x:v>
      </x:c>
      <x:c r="B112" s="14" t="n">
        <x:v>45996</x:v>
      </x:c>
      <x:c r="C112" s="12" t="str">
        <x:v>模拟下游3</x:v>
      </x:c>
      <x:c r="D112" s="12" t="str">
        <x:v>工业塑料周转配件</x:v>
      </x:c>
      <x:c r="E112" s="13" t="n">
        <x:v>1778294</x:v>
      </x:c>
      <x:c r="F112" s="13" t="n">
        <x:v>231178</x:v>
      </x:c>
      <x:c r="G112" s="13" t="n">
        <x:v>2009472</x:v>
      </x:c>
      <x:c r="H112" s="13" t="n">
        <x:v>2009472</x:v>
      </x:c>
      <x:c r="I112" s="13" t="n">
        <x:v>0</x:v>
      </x:c>
      <x:c r="J112" s="14" t="n">
        <x:v>46001</x:v>
      </x:c>
      <x:c r="K112" s="12" t="str">
        <x:v>KS-INJECTION-1000-S-202512-3-INV</x:v>
      </x:c>
      <x:c r="L112" s="12" t="str">
        <x:v>KS-INJECTION-1000-S-202512-3-DEL</x:v>
      </x:c>
      <x:c r="M112" s="12" t="str">
        <x:v>SYNTHETIC</x:v>
      </x:c>
    </x:row>
    <x:row r="113" ht="38" customHeight="1">
      <x:c r="A113" s="12" t="str">
        <x:v>KS-INJECTION-1000-S-202601-1</x:v>
      </x:c>
      <x:c r="B113" s="14" t="n">
        <x:v>46027</x:v>
      </x:c>
      <x:c r="C113" s="12" t="str">
        <x:v>模拟下游1</x:v>
      </x:c>
      <x:c r="D113" s="12" t="str">
        <x:v>工业塑料周转配件</x:v>
      </x:c>
      <x:c r="E113" s="13" t="n">
        <x:v>1439094</x:v>
      </x:c>
      <x:c r="F113" s="13" t="n">
        <x:v>187082</x:v>
      </x:c>
      <x:c r="G113" s="13" t="n">
        <x:v>1626176</x:v>
      </x:c>
      <x:c r="H113" s="13" t="n">
        <x:v>1609914</x:v>
      </x:c>
      <x:c r="I113" s="13" t="n">
        <x:v>16262</x:v>
      </x:c>
      <x:c r="J113" s="14" t="n">
        <x:v>46032</x:v>
      </x:c>
      <x:c r="K113" s="12" t="str">
        <x:v>KS-INJECTION-1000-S-202601-1-INV</x:v>
      </x:c>
      <x:c r="L113" s="12" t="str">
        <x:v>KS-INJECTION-1000-S-202601-1-DEL</x:v>
      </x:c>
      <x:c r="M113" s="12" t="str">
        <x:v>SYNTHETIC</x:v>
      </x:c>
    </x:row>
    <x:row r="114" ht="38" customHeight="1">
      <x:c r="A114" s="12" t="str">
        <x:v>KS-INJECTION-1000-S-202601-2</x:v>
      </x:c>
      <x:c r="B114" s="14" t="n">
        <x:v>46027</x:v>
      </x:c>
      <x:c r="C114" s="12" t="str">
        <x:v>模拟下游2</x:v>
      </x:c>
      <x:c r="D114" s="12" t="str">
        <x:v>工业塑料周转配件</x:v>
      </x:c>
      <x:c r="E114" s="13" t="n">
        <x:v>1396767</x:v>
      </x:c>
      <x:c r="F114" s="13" t="n">
        <x:v>181580</x:v>
      </x:c>
      <x:c r="G114" s="13" t="n">
        <x:v>1578347</x:v>
      </x:c>
      <x:c r="H114" s="13" t="n">
        <x:v>1562564</x:v>
      </x:c>
      <x:c r="I114" s="13" t="n">
        <x:v>15783</x:v>
      </x:c>
      <x:c r="J114" s="14" t="n">
        <x:v>46032</x:v>
      </x:c>
      <x:c r="K114" s="12" t="str">
        <x:v>KS-INJECTION-1000-S-202601-2-INV</x:v>
      </x:c>
      <x:c r="L114" s="12" t="str">
        <x:v>KS-INJECTION-1000-S-202601-2-DEL</x:v>
      </x:c>
      <x:c r="M114" s="12" t="str">
        <x:v>SYNTHETIC</x:v>
      </x:c>
    </x:row>
    <x:row r="115" ht="38" customHeight="1">
      <x:c r="A115" s="12" t="str">
        <x:v>KS-INJECTION-1000-S-202601-3</x:v>
      </x:c>
      <x:c r="B115" s="14" t="n">
        <x:v>46027</x:v>
      </x:c>
      <x:c r="C115" s="12" t="str">
        <x:v>模拟下游3</x:v>
      </x:c>
      <x:c r="D115" s="12" t="str">
        <x:v>工业塑料周转配件</x:v>
      </x:c>
      <x:c r="E115" s="13" t="n">
        <x:v>1396767</x:v>
      </x:c>
      <x:c r="F115" s="13" t="n">
        <x:v>181580</x:v>
      </x:c>
      <x:c r="G115" s="13" t="n">
        <x:v>1578347</x:v>
      </x:c>
      <x:c r="H115" s="13" t="n">
        <x:v>1562564</x:v>
      </x:c>
      <x:c r="I115" s="13" t="n">
        <x:v>15783</x:v>
      </x:c>
      <x:c r="J115" s="14" t="n">
        <x:v>46032</x:v>
      </x:c>
      <x:c r="K115" s="12" t="str">
        <x:v>KS-INJECTION-1000-S-202601-3-INV</x:v>
      </x:c>
      <x:c r="L115" s="12" t="str">
        <x:v>KS-INJECTION-1000-S-202601-3-DEL</x:v>
      </x:c>
      <x:c r="M115" s="12" t="str">
        <x:v>SYNTHETIC</x:v>
      </x:c>
    </x:row>
    <x:row r="116" ht="38" customHeight="1">
      <x:c r="A116" s="12" t="str">
        <x:v>KS-INJECTION-1000-S-202602-1</x:v>
      </x:c>
      <x:c r="B116" s="14" t="n">
        <x:v>46058</x:v>
      </x:c>
      <x:c r="C116" s="12" t="str">
        <x:v>模拟下游1</x:v>
      </x:c>
      <x:c r="D116" s="12" t="str">
        <x:v>工业塑料周转配件</x:v>
      </x:c>
      <x:c r="E116" s="13" t="n">
        <x:v>1295184</x:v>
      </x:c>
      <x:c r="F116" s="13" t="n">
        <x:v>168374</x:v>
      </x:c>
      <x:c r="G116" s="13" t="n">
        <x:v>1463558</x:v>
      </x:c>
      <x:c r="H116" s="13" t="n">
        <x:v>1448922</x:v>
      </x:c>
      <x:c r="I116" s="13" t="n">
        <x:v>14636</x:v>
      </x:c>
      <x:c r="J116" s="14" t="n">
        <x:v>46063</x:v>
      </x:c>
      <x:c r="K116" s="12" t="str">
        <x:v>KS-INJECTION-1000-S-202602-1-INV</x:v>
      </x:c>
      <x:c r="L116" s="12" t="str">
        <x:v>KS-INJECTION-1000-S-202602-1-DEL</x:v>
      </x:c>
      <x:c r="M116" s="12" t="str">
        <x:v>SYNTHETIC</x:v>
      </x:c>
    </x:row>
    <x:row r="117" ht="38" customHeight="1">
      <x:c r="A117" s="12" t="str">
        <x:v>KS-INJECTION-1000-S-202602-2</x:v>
      </x:c>
      <x:c r="B117" s="14" t="n">
        <x:v>46058</x:v>
      </x:c>
      <x:c r="C117" s="12" t="str">
        <x:v>模拟下游2</x:v>
      </x:c>
      <x:c r="D117" s="12" t="str">
        <x:v>工业塑料周转配件</x:v>
      </x:c>
      <x:c r="E117" s="13" t="n">
        <x:v>1257090</x:v>
      </x:c>
      <x:c r="F117" s="13" t="n">
        <x:v>163422</x:v>
      </x:c>
      <x:c r="G117" s="13" t="n">
        <x:v>1420512</x:v>
      </x:c>
      <x:c r="H117" s="13" t="n">
        <x:v>1406307</x:v>
      </x:c>
      <x:c r="I117" s="13" t="n">
        <x:v>14205</x:v>
      </x:c>
      <x:c r="J117" s="14" t="n">
        <x:v>46063</x:v>
      </x:c>
      <x:c r="K117" s="12" t="str">
        <x:v>KS-INJECTION-1000-S-202602-2-INV</x:v>
      </x:c>
      <x:c r="L117" s="12" t="str">
        <x:v>KS-INJECTION-1000-S-202602-2-DEL</x:v>
      </x:c>
      <x:c r="M117" s="12" t="str">
        <x:v>SYNTHETIC</x:v>
      </x:c>
    </x:row>
    <x:row r="118" ht="38" customHeight="1">
      <x:c r="A118" s="12" t="str">
        <x:v>KS-INJECTION-1000-S-202602-3</x:v>
      </x:c>
      <x:c r="B118" s="14" t="n">
        <x:v>46058</x:v>
      </x:c>
      <x:c r="C118" s="12" t="str">
        <x:v>模拟下游3</x:v>
      </x:c>
      <x:c r="D118" s="12" t="str">
        <x:v>工业塑料周转配件</x:v>
      </x:c>
      <x:c r="E118" s="13" t="n">
        <x:v>1257090</x:v>
      </x:c>
      <x:c r="F118" s="13" t="n">
        <x:v>163421</x:v>
      </x:c>
      <x:c r="G118" s="13" t="n">
        <x:v>1420511</x:v>
      </x:c>
      <x:c r="H118" s="13" t="n">
        <x:v>1406306</x:v>
      </x:c>
      <x:c r="I118" s="13" t="n">
        <x:v>14205</x:v>
      </x:c>
      <x:c r="J118" s="14" t="n">
        <x:v>46063</x:v>
      </x:c>
      <x:c r="K118" s="12" t="str">
        <x:v>KS-INJECTION-1000-S-202602-3-INV</x:v>
      </x:c>
      <x:c r="L118" s="12" t="str">
        <x:v>KS-INJECTION-1000-S-202602-3-DEL</x:v>
      </x:c>
      <x:c r="M118" s="12" t="str">
        <x:v>SYNTHETIC</x:v>
      </x:c>
    </x:row>
    <x:row r="119" ht="38" customHeight="1">
      <x:c r="A119" s="12" t="str">
        <x:v>KS-INJECTION-1000-S-202603-1</x:v>
      </x:c>
      <x:c r="B119" s="14" t="n">
        <x:v>46086</x:v>
      </x:c>
      <x:c r="C119" s="12" t="str">
        <x:v>模拟下游1</x:v>
      </x:c>
      <x:c r="D119" s="12" t="str">
        <x:v>工业塑料周转配件</x:v>
      </x:c>
      <x:c r="E119" s="13" t="n">
        <x:v>1834845</x:v>
      </x:c>
      <x:c r="F119" s="13" t="n">
        <x:v>238530</x:v>
      </x:c>
      <x:c r="G119" s="13" t="n">
        <x:v>2073375</x:v>
      </x:c>
      <x:c r="H119" s="13" t="n">
        <x:v>2052641</x:v>
      </x:c>
      <x:c r="I119" s="13" t="n">
        <x:v>20734</x:v>
      </x:c>
      <x:c r="J119" s="14" t="n">
        <x:v>46091</x:v>
      </x:c>
      <x:c r="K119" s="12" t="str">
        <x:v>KS-INJECTION-1000-S-202603-1-INV</x:v>
      </x:c>
      <x:c r="L119" s="12" t="str">
        <x:v>KS-INJECTION-1000-S-202603-1-DEL</x:v>
      </x:c>
      <x:c r="M119" s="12" t="str">
        <x:v>SYNTHETIC</x:v>
      </x:c>
    </x:row>
    <x:row r="120" ht="38" customHeight="1">
      <x:c r="A120" s="12" t="str">
        <x:v>KS-INJECTION-1000-S-202603-2</x:v>
      </x:c>
      <x:c r="B120" s="14" t="n">
        <x:v>46086</x:v>
      </x:c>
      <x:c r="C120" s="12" t="str">
        <x:v>模拟下游2</x:v>
      </x:c>
      <x:c r="D120" s="12" t="str">
        <x:v>工业塑料周转配件</x:v>
      </x:c>
      <x:c r="E120" s="13" t="n">
        <x:v>1780879</x:v>
      </x:c>
      <x:c r="F120" s="13" t="n">
        <x:v>231514</x:v>
      </x:c>
      <x:c r="G120" s="13" t="n">
        <x:v>2012393</x:v>
      </x:c>
      <x:c r="H120" s="13" t="n">
        <x:v>1992269</x:v>
      </x:c>
      <x:c r="I120" s="13" t="n">
        <x:v>20124</x:v>
      </x:c>
      <x:c r="J120" s="14" t="n">
        <x:v>46091</x:v>
      </x:c>
      <x:c r="K120" s="12" t="str">
        <x:v>KS-INJECTION-1000-S-202603-2-INV</x:v>
      </x:c>
      <x:c r="L120" s="12" t="str">
        <x:v>KS-INJECTION-1000-S-202603-2-DEL</x:v>
      </x:c>
      <x:c r="M120" s="12" t="str">
        <x:v>SYNTHETIC</x:v>
      </x:c>
    </x:row>
    <x:row r="121" ht="38" customHeight="1">
      <x:c r="A121" s="12" t="str">
        <x:v>KS-INJECTION-1000-S-202603-3</x:v>
      </x:c>
      <x:c r="B121" s="14" t="n">
        <x:v>46086</x:v>
      </x:c>
      <x:c r="C121" s="12" t="str">
        <x:v>模拟下游3</x:v>
      </x:c>
      <x:c r="D121" s="12" t="str">
        <x:v>工业塑料周转配件</x:v>
      </x:c>
      <x:c r="E121" s="13" t="n">
        <x:v>1780880</x:v>
      </x:c>
      <x:c r="F121" s="13" t="n">
        <x:v>231515</x:v>
      </x:c>
      <x:c r="G121" s="13" t="n">
        <x:v>2012395</x:v>
      </x:c>
      <x:c r="H121" s="13" t="n">
        <x:v>1992271</x:v>
      </x:c>
      <x:c r="I121" s="13" t="n">
        <x:v>20124</x:v>
      </x:c>
      <x:c r="J121" s="14" t="n">
        <x:v>46091</x:v>
      </x:c>
      <x:c r="K121" s="12" t="str">
        <x:v>KS-INJECTION-1000-S-202603-3-INV</x:v>
      </x:c>
      <x:c r="L121" s="12" t="str">
        <x:v>KS-INJECTION-1000-S-202603-3-DEL</x:v>
      </x:c>
      <x:c r="M121" s="12" t="str">
        <x:v>SYNTHETIC</x:v>
      </x:c>
    </x:row>
    <x:row r="122" ht="38" customHeight="1">
      <x:c r="A122" s="12" t="str">
        <x:v>KS-INJECTION-1000-S-202604-1</x:v>
      </x:c>
      <x:c r="B122" s="14" t="n">
        <x:v>46117</x:v>
      </x:c>
      <x:c r="C122" s="12" t="str">
        <x:v>模拟下游1</x:v>
      </x:c>
      <x:c r="D122" s="12" t="str">
        <x:v>工业塑料周转配件</x:v>
      </x:c>
      <x:c r="E122" s="13" t="n">
        <x:v>1906800</x:v>
      </x:c>
      <x:c r="F122" s="13" t="n">
        <x:v>247884</x:v>
      </x:c>
      <x:c r="G122" s="13" t="n">
        <x:v>2154684</x:v>
      </x:c>
      <x:c r="H122" s="13" t="n">
        <x:v>2133137</x:v>
      </x:c>
      <x:c r="I122" s="13" t="n">
        <x:v>21547</x:v>
      </x:c>
      <x:c r="J122" s="14" t="n">
        <x:v>46122</x:v>
      </x:c>
      <x:c r="K122" s="12" t="str">
        <x:v>KS-INJECTION-1000-S-202604-1-INV</x:v>
      </x:c>
      <x:c r="L122" s="12" t="str">
        <x:v>KS-INJECTION-1000-S-202604-1-DEL</x:v>
      </x:c>
      <x:c r="M122" s="12" t="str">
        <x:v>SYNTHETIC</x:v>
      </x:c>
    </x:row>
    <x:row r="123" ht="38" customHeight="1">
      <x:c r="A123" s="12" t="str">
        <x:v>KS-INJECTION-1000-S-202604-2</x:v>
      </x:c>
      <x:c r="B123" s="14" t="n">
        <x:v>46117</x:v>
      </x:c>
      <x:c r="C123" s="12" t="str">
        <x:v>模拟下游2</x:v>
      </x:c>
      <x:c r="D123" s="12" t="str">
        <x:v>工业塑料周转配件</x:v>
      </x:c>
      <x:c r="E123" s="13" t="n">
        <x:v>1850718</x:v>
      </x:c>
      <x:c r="F123" s="13" t="n">
        <x:v>240593</x:v>
      </x:c>
      <x:c r="G123" s="13" t="n">
        <x:v>2091311</x:v>
      </x:c>
      <x:c r="H123" s="13" t="n">
        <x:v>2070398</x:v>
      </x:c>
      <x:c r="I123" s="13" t="n">
        <x:v>20913</x:v>
      </x:c>
      <x:c r="J123" s="14" t="n">
        <x:v>46122</x:v>
      </x:c>
      <x:c r="K123" s="12" t="str">
        <x:v>KS-INJECTION-1000-S-202604-2-INV</x:v>
      </x:c>
      <x:c r="L123" s="12" t="str">
        <x:v>KS-INJECTION-1000-S-202604-2-DEL</x:v>
      </x:c>
      <x:c r="M123" s="12" t="str">
        <x:v>SYNTHETIC</x:v>
      </x:c>
    </x:row>
    <x:row r="124" ht="38" customHeight="1">
      <x:c r="A124" s="12" t="str">
        <x:v>KS-INJECTION-1000-S-202604-3</x:v>
      </x:c>
      <x:c r="B124" s="14" t="n">
        <x:v>46117</x:v>
      </x:c>
      <x:c r="C124" s="12" t="str">
        <x:v>模拟下游3</x:v>
      </x:c>
      <x:c r="D124" s="12" t="str">
        <x:v>工业塑料周转配件</x:v>
      </x:c>
      <x:c r="E124" s="13" t="n">
        <x:v>1850718</x:v>
      </x:c>
      <x:c r="F124" s="13" t="n">
        <x:v>240594</x:v>
      </x:c>
      <x:c r="G124" s="13" t="n">
        <x:v>2091312</x:v>
      </x:c>
      <x:c r="H124" s="13" t="n">
        <x:v>2070399</x:v>
      </x:c>
      <x:c r="I124" s="13" t="n">
        <x:v>20913</x:v>
      </x:c>
      <x:c r="J124" s="14" t="n">
        <x:v>46122</x:v>
      </x:c>
      <x:c r="K124" s="12" t="str">
        <x:v>KS-INJECTION-1000-S-202604-3-INV</x:v>
      </x:c>
      <x:c r="L124" s="12" t="str">
        <x:v>KS-INJECTION-1000-S-202604-3-DEL</x:v>
      </x:c>
      <x:c r="M124" s="12" t="str">
        <x:v>SYNTHETIC</x:v>
      </x:c>
    </x:row>
    <x:row r="125" ht="38" customHeight="1">
      <x:c r="A125" s="12" t="str">
        <x:v>KS-INJECTION-1000-S-202605-1</x:v>
      </x:c>
      <x:c r="B125" s="14" t="n">
        <x:v>46147</x:v>
      </x:c>
      <x:c r="C125" s="12" t="str">
        <x:v>模拟下游1</x:v>
      </x:c>
      <x:c r="D125" s="12" t="str">
        <x:v>工业塑料周转配件</x:v>
      </x:c>
      <x:c r="E125" s="13" t="n">
        <x:v>1978755</x:v>
      </x:c>
      <x:c r="F125" s="13" t="n">
        <x:v>257238</x:v>
      </x:c>
      <x:c r="G125" s="13" t="n">
        <x:v>2235993</x:v>
      </x:c>
      <x:c r="H125" s="13" t="n">
        <x:v>2213633</x:v>
      </x:c>
      <x:c r="I125" s="13" t="n">
        <x:v>22360</x:v>
      </x:c>
      <x:c r="J125" s="14" t="n">
        <x:v>46152</x:v>
      </x:c>
      <x:c r="K125" s="12" t="str">
        <x:v>KS-INJECTION-1000-S-202605-1-INV</x:v>
      </x:c>
      <x:c r="L125" s="12" t="str">
        <x:v>KS-INJECTION-1000-S-202605-1-DEL</x:v>
      </x:c>
      <x:c r="M125" s="12" t="str">
        <x:v>SYNTHETIC</x:v>
      </x:c>
    </x:row>
    <x:row r="126" ht="38" customHeight="1">
      <x:c r="A126" s="12" t="str">
        <x:v>KS-INJECTION-1000-S-202605-2</x:v>
      </x:c>
      <x:c r="B126" s="14" t="n">
        <x:v>46147</x:v>
      </x:c>
      <x:c r="C126" s="12" t="str">
        <x:v>模拟下游2</x:v>
      </x:c>
      <x:c r="D126" s="12" t="str">
        <x:v>工业塑料周转配件</x:v>
      </x:c>
      <x:c r="E126" s="13" t="n">
        <x:v>1920556</x:v>
      </x:c>
      <x:c r="F126" s="13" t="n">
        <x:v>249672</x:v>
      </x:c>
      <x:c r="G126" s="13" t="n">
        <x:v>2170228</x:v>
      </x:c>
      <x:c r="H126" s="13" t="n">
        <x:v>2148526</x:v>
      </x:c>
      <x:c r="I126" s="13" t="n">
        <x:v>21702</x:v>
      </x:c>
      <x:c r="J126" s="14" t="n">
        <x:v>46152</x:v>
      </x:c>
      <x:c r="K126" s="12" t="str">
        <x:v>KS-INJECTION-1000-S-202605-2-INV</x:v>
      </x:c>
      <x:c r="L126" s="12" t="str">
        <x:v>KS-INJECTION-1000-S-202605-2-DEL</x:v>
      </x:c>
      <x:c r="M126" s="12" t="str">
        <x:v>SYNTHETIC</x:v>
      </x:c>
    </x:row>
    <x:row r="127" ht="38" customHeight="1">
      <x:c r="A127" s="12" t="str">
        <x:v>KS-INJECTION-1000-S-202605-3</x:v>
      </x:c>
      <x:c r="B127" s="14" t="n">
        <x:v>46147</x:v>
      </x:c>
      <x:c r="C127" s="12" t="str">
        <x:v>模拟下游3</x:v>
      </x:c>
      <x:c r="D127" s="12" t="str">
        <x:v>工业塑料周转配件</x:v>
      </x:c>
      <x:c r="E127" s="13" t="n">
        <x:v>1920557</x:v>
      </x:c>
      <x:c r="F127" s="13" t="n">
        <x:v>249673</x:v>
      </x:c>
      <x:c r="G127" s="13" t="n">
        <x:v>2170230</x:v>
      </x:c>
      <x:c r="H127" s="13" t="n">
        <x:v>2148528</x:v>
      </x:c>
      <x:c r="I127" s="13" t="n">
        <x:v>21702</x:v>
      </x:c>
      <x:c r="J127" s="14" t="n">
        <x:v>46152</x:v>
      </x:c>
      <x:c r="K127" s="12" t="str">
        <x:v>KS-INJECTION-1000-S-202605-3-INV</x:v>
      </x:c>
      <x:c r="L127" s="12" t="str">
        <x:v>KS-INJECTION-1000-S-202605-3-DEL</x:v>
      </x:c>
      <x:c r="M127" s="12" t="str">
        <x:v>SYNTHETIC</x:v>
      </x:c>
    </x:row>
    <x:row r="128" ht="38" customHeight="1">
      <x:c r="A128" s="12" t="str">
        <x:v>KS-INJECTION-1000-S-202606-1</x:v>
      </x:c>
      <x:c r="B128" s="14" t="n">
        <x:v>46178</x:v>
      </x:c>
      <x:c r="C128" s="12" t="str">
        <x:v>模拟下游1</x:v>
      </x:c>
      <x:c r="D128" s="12" t="str">
        <x:v>工业塑料周转配件</x:v>
      </x:c>
      <x:c r="E128" s="13" t="n">
        <x:v>1888812</x:v>
      </x:c>
      <x:c r="F128" s="13" t="n">
        <x:v>245546</x:v>
      </x:c>
      <x:c r="G128" s="13" t="n">
        <x:v>2134358</x:v>
      </x:c>
      <x:c r="H128" s="13" t="n">
        <x:v>2113014</x:v>
      </x:c>
      <x:c r="I128" s="13" t="n">
        <x:v>21344</x:v>
      </x:c>
      <x:c r="J128" s="14" t="n">
        <x:v>46183</x:v>
      </x:c>
      <x:c r="K128" s="12" t="str">
        <x:v>KS-INJECTION-1000-S-202606-1-INV</x:v>
      </x:c>
      <x:c r="L128" s="12" t="str">
        <x:v>KS-INJECTION-1000-S-202606-1-DEL</x:v>
      </x:c>
      <x:c r="M128" s="12" t="str">
        <x:v>SYNTHETIC</x:v>
      </x:c>
    </x:row>
    <x:row r="129" ht="38" customHeight="1">
      <x:c r="A129" s="12" t="str">
        <x:v>KS-INJECTION-1000-S-202606-2</x:v>
      </x:c>
      <x:c r="B129" s="14" t="n">
        <x:v>46178</x:v>
      </x:c>
      <x:c r="C129" s="12" t="str">
        <x:v>模拟下游2</x:v>
      </x:c>
      <x:c r="D129" s="12" t="str">
        <x:v>工业塑料周转配件</x:v>
      </x:c>
      <x:c r="E129" s="13" t="n">
        <x:v>1833258</x:v>
      </x:c>
      <x:c r="F129" s="13" t="n">
        <x:v>238324</x:v>
      </x:c>
      <x:c r="G129" s="13" t="n">
        <x:v>2071582</x:v>
      </x:c>
      <x:c r="H129" s="13" t="n">
        <x:v>2050866</x:v>
      </x:c>
      <x:c r="I129" s="13" t="n">
        <x:v>20716</x:v>
      </x:c>
      <x:c r="J129" s="14" t="n">
        <x:v>46183</x:v>
      </x:c>
      <x:c r="K129" s="12" t="str">
        <x:v>KS-INJECTION-1000-S-202606-2-INV</x:v>
      </x:c>
      <x:c r="L129" s="12" t="str">
        <x:v>KS-INJECTION-1000-S-202606-2-DEL</x:v>
      </x:c>
      <x:c r="M129" s="12" t="str">
        <x:v>SYNTHETIC</x:v>
      </x:c>
    </x:row>
    <x:row r="130" ht="38" customHeight="1">
      <x:c r="A130" s="12" t="str">
        <x:v>KS-INJECTION-1000-S-202606-3</x:v>
      </x:c>
      <x:c r="B130" s="14" t="n">
        <x:v>46178</x:v>
      </x:c>
      <x:c r="C130" s="12" t="str">
        <x:v>模拟下游3</x:v>
      </x:c>
      <x:c r="D130" s="12" t="str">
        <x:v>工业塑料周转配件</x:v>
      </x:c>
      <x:c r="E130" s="13" t="n">
        <x:v>1833258</x:v>
      </x:c>
      <x:c r="F130" s="13" t="n">
        <x:v>238323</x:v>
      </x:c>
      <x:c r="G130" s="13" t="n">
        <x:v>2071581</x:v>
      </x:c>
      <x:c r="H130" s="13" t="n">
        <x:v>2050865</x:v>
      </x:c>
      <x:c r="I130" s="13" t="n">
        <x:v>20716</x:v>
      </x:c>
      <x:c r="J130" s="14" t="n">
        <x:v>46183</x:v>
      </x:c>
      <x:c r="K130" s="12" t="str">
        <x:v>KS-INJECTION-1000-S-202606-3-INV</x:v>
      </x:c>
      <x:c r="L130" s="12" t="str">
        <x:v>KS-INJECTION-1000-S-202606-3-DEL</x:v>
      </x:c>
      <x:c r="M130" s="12" t="str">
        <x:v>SYNTHETIC</x:v>
      </x:c>
    </x:row>
    <x:row r="131" ht="38" customHeight="1">
      <x:c r="A131" s="12" t="str">
        <x:v>KS-INJECTION-1000-S-202607-1</x:v>
      </x:c>
      <x:c r="B131" s="14" t="n">
        <x:v>46208</x:v>
      </x:c>
      <x:c r="C131" s="12" t="str">
        <x:v>模拟下游1</x:v>
      </x:c>
      <x:c r="D131" s="12" t="str">
        <x:v>工业塑料周转配件</x:v>
      </x:c>
      <x:c r="E131" s="13" t="n">
        <x:v>1942778</x:v>
      </x:c>
      <x:c r="F131" s="13" t="n">
        <x:v>252561</x:v>
      </x:c>
      <x:c r="G131" s="13" t="n">
        <x:v>2195339</x:v>
      </x:c>
      <x:c r="H131" s="13" t="n">
        <x:v>2173386</x:v>
      </x:c>
      <x:c r="I131" s="13" t="n">
        <x:v>21953</x:v>
      </x:c>
      <x:c r="J131" s="14" t="n">
        <x:v>46213</x:v>
      </x:c>
      <x:c r="K131" s="12" t="str">
        <x:v>KS-INJECTION-1000-S-202607-1-INV</x:v>
      </x:c>
      <x:c r="L131" s="12" t="str">
        <x:v>KS-INJECTION-1000-S-202607-1-DEL</x:v>
      </x:c>
      <x:c r="M131" s="12" t="str">
        <x:v>SYNTHETIC</x:v>
      </x:c>
    </x:row>
    <x:row r="132" ht="38" customHeight="1">
      <x:c r="A132" s="12" t="str">
        <x:v>KS-INJECTION-1000-S-202607-2</x:v>
      </x:c>
      <x:c r="B132" s="14" t="n">
        <x:v>46208</x:v>
      </x:c>
      <x:c r="C132" s="12" t="str">
        <x:v>模拟下游2</x:v>
      </x:c>
      <x:c r="D132" s="12" t="str">
        <x:v>工业塑料周转配件</x:v>
      </x:c>
      <x:c r="E132" s="13" t="n">
        <x:v>1885637</x:v>
      </x:c>
      <x:c r="F132" s="13" t="n">
        <x:v>245133</x:v>
      </x:c>
      <x:c r="G132" s="13" t="n">
        <x:v>2130770</x:v>
      </x:c>
      <x:c r="H132" s="13" t="n">
        <x:v>2109462</x:v>
      </x:c>
      <x:c r="I132" s="13" t="n">
        <x:v>21308</x:v>
      </x:c>
      <x:c r="J132" s="14" t="n">
        <x:v>46213</x:v>
      </x:c>
      <x:c r="K132" s="12" t="str">
        <x:v>KS-INJECTION-1000-S-202607-2-INV</x:v>
      </x:c>
      <x:c r="L132" s="12" t="str">
        <x:v>KS-INJECTION-1000-S-202607-2-DEL</x:v>
      </x:c>
      <x:c r="M132" s="12" t="str">
        <x:v>SYNTHETIC</x:v>
      </x:c>
    </x:row>
    <x:row r="133" ht="38" customHeight="1">
      <x:c r="A133" s="12" t="str">
        <x:v>KS-INJECTION-1000-S-202607-3</x:v>
      </x:c>
      <x:c r="B133" s="14" t="n">
        <x:v>46208</x:v>
      </x:c>
      <x:c r="C133" s="12" t="str">
        <x:v>模拟下游3</x:v>
      </x:c>
      <x:c r="D133" s="12" t="str">
        <x:v>工业塑料周转配件</x:v>
      </x:c>
      <x:c r="E133" s="13" t="n">
        <x:v>1885637</x:v>
      </x:c>
      <x:c r="F133" s="13" t="n">
        <x:v>245133</x:v>
      </x:c>
      <x:c r="G133" s="13" t="n">
        <x:v>2130770</x:v>
      </x:c>
      <x:c r="H133" s="13" t="n">
        <x:v>2109462</x:v>
      </x:c>
      <x:c r="I133" s="13" t="n">
        <x:v>21308</x:v>
      </x:c>
      <x:c r="J133" s="14" t="n">
        <x:v>46213</x:v>
      </x:c>
      <x:c r="K133" s="12" t="str">
        <x:v>KS-INJECTION-1000-S-202607-3-INV</x:v>
      </x:c>
      <x:c r="L133" s="12" t="str">
        <x:v>KS-INJECTION-1000-S-202607-3-DEL</x:v>
      </x:c>
      <x:c r="M133" s="12" t="str">
        <x:v>SYNTHETIC</x:v>
      </x:c>
    </x:row>
    <x:row r="134" ht="38" customHeight="1">
      <x:c r="A134" s="12" t="str">
        <x:v>KS-INJECTION-1000-S-202608-1</x:v>
      </x:c>
      <x:c r="B134" s="14" t="n">
        <x:v>46239</x:v>
      </x:c>
      <x:c r="C134" s="12" t="str">
        <x:v>模拟下游1</x:v>
      </x:c>
      <x:c r="D134" s="12" t="str">
        <x:v>工业塑料周转配件</x:v>
      </x:c>
      <x:c r="E134" s="13" t="n">
        <x:v>1942778</x:v>
      </x:c>
      <x:c r="F134" s="13" t="n">
        <x:v>252561</x:v>
      </x:c>
      <x:c r="G134" s="13" t="n">
        <x:v>2195339</x:v>
      </x:c>
      <x:c r="H134" s="13" t="n">
        <x:v>2173386</x:v>
      </x:c>
      <x:c r="I134" s="13" t="n">
        <x:v>21953</x:v>
      </x:c>
      <x:c r="J134" s="14" t="n">
        <x:v>46244</x:v>
      </x:c>
      <x:c r="K134" s="12" t="str">
        <x:v>KS-INJECTION-1000-S-202608-1-INV</x:v>
      </x:c>
      <x:c r="L134" s="12" t="str">
        <x:v>KS-INJECTION-1000-S-202608-1-DEL</x:v>
      </x:c>
      <x:c r="M134" s="12" t="str">
        <x:v>SYNTHETIC</x:v>
      </x:c>
    </x:row>
    <x:row r="135" ht="38" customHeight="1">
      <x:c r="A135" s="12" t="str">
        <x:v>KS-INJECTION-1000-S-202608-2</x:v>
      </x:c>
      <x:c r="B135" s="14" t="n">
        <x:v>46239</x:v>
      </x:c>
      <x:c r="C135" s="12" t="str">
        <x:v>模拟下游2</x:v>
      </x:c>
      <x:c r="D135" s="12" t="str">
        <x:v>工业塑料周转配件</x:v>
      </x:c>
      <x:c r="E135" s="13" t="n">
        <x:v>1885637</x:v>
      </x:c>
      <x:c r="F135" s="13" t="n">
        <x:v>245133</x:v>
      </x:c>
      <x:c r="G135" s="13" t="n">
        <x:v>2130770</x:v>
      </x:c>
      <x:c r="H135" s="13" t="n">
        <x:v>2109462</x:v>
      </x:c>
      <x:c r="I135" s="13" t="n">
        <x:v>21308</x:v>
      </x:c>
      <x:c r="J135" s="14" t="n">
        <x:v>46244</x:v>
      </x:c>
      <x:c r="K135" s="12" t="str">
        <x:v>KS-INJECTION-1000-S-202608-2-INV</x:v>
      </x:c>
      <x:c r="L135" s="12" t="str">
        <x:v>KS-INJECTION-1000-S-202608-2-DEL</x:v>
      </x:c>
      <x:c r="M135" s="12" t="str">
        <x:v>SYNTHETIC</x:v>
      </x:c>
    </x:row>
    <x:row r="136" ht="38" customHeight="1">
      <x:c r="A136" s="12" t="str">
        <x:v>KS-INJECTION-1000-S-202608-3</x:v>
      </x:c>
      <x:c r="B136" s="14" t="n">
        <x:v>46239</x:v>
      </x:c>
      <x:c r="C136" s="12" t="str">
        <x:v>模拟下游3</x:v>
      </x:c>
      <x:c r="D136" s="12" t="str">
        <x:v>工业塑料周转配件</x:v>
      </x:c>
      <x:c r="E136" s="13" t="n">
        <x:v>1885637</x:v>
      </x:c>
      <x:c r="F136" s="13" t="n">
        <x:v>245133</x:v>
      </x:c>
      <x:c r="G136" s="13" t="n">
        <x:v>2130770</x:v>
      </x:c>
      <x:c r="H136" s="13" t="n">
        <x:v>2109462</x:v>
      </x:c>
      <x:c r="I136" s="13" t="n">
        <x:v>21308</x:v>
      </x:c>
      <x:c r="J136" s="14" t="n">
        <x:v>46244</x:v>
      </x:c>
      <x:c r="K136" s="12" t="str">
        <x:v>KS-INJECTION-1000-S-202608-3-INV</x:v>
      </x:c>
      <x:c r="L136" s="12" t="str">
        <x:v>KS-INJECTION-1000-S-202608-3-DEL</x:v>
      </x:c>
      <x:c r="M136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6" hidden="0" customWidth="1"/>
    <x:col min="11" max="11" width="46" hidden="0" customWidth="1"/>
    <x:col min="12" max="12" width="21" hidden="0" customWidth="1"/>
  </x:cols>
  <x:sheetData>
    <x:row r="1" ht="30" customHeight="1">
      <x:c r="A1" s="9" t="str">
        <x:v>喀什示例塑料制品有限公司 · 采购进项付款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38" customHeight="1">
      <x:c r="A4" s="11" t="str">
        <x:v>采购号</x:v>
      </x:c>
      <x:c r="B4" s="11" t="str">
        <x:v>日期</x:v>
      </x:c>
      <x:c r="C4" s="11" t="str">
        <x:v>供应商</x:v>
      </x:c>
      <x:c r="D4" s="11" t="str">
        <x:v>原料</x:v>
      </x:c>
      <x:c r="E4" s="11" t="str">
        <x:v>数量kg</x:v>
      </x:c>
      <x:c r="F4" s="11" t="str">
        <x:v>单价元kg</x:v>
      </x:c>
      <x:c r="G4" s="11" t="str">
        <x:v>不含税元</x:v>
      </x:c>
      <x:c r="H4" s="11" t="str">
        <x:v>税额元</x:v>
      </x:c>
      <x:c r="I4" s="11" t="str">
        <x:v>价税合计元</x:v>
      </x:c>
      <x:c r="J4" s="11" t="str">
        <x:v>模拟发票号</x:v>
      </x:c>
      <x:c r="K4" s="11" t="str">
        <x:v>入库单号</x:v>
      </x:c>
      <x:c r="L4" s="11" t="str">
        <x:v>标识</x:v>
      </x:c>
    </x:row>
    <x:row r="5" ht="38" customHeight="1">
      <x:c r="A5" s="12" t="str">
        <x:v>KS-INJECTION-1000-P-202301-1</x:v>
      </x:c>
      <x:c r="B5" s="14" t="n">
        <x:v>44934</x:v>
      </x:c>
      <x:c r="C5" s="12" t="str">
        <x:v>模拟原料商1</x:v>
      </x:c>
      <x:c r="D5" s="12" t="str">
        <x:v>PP粒子</x:v>
      </x:c>
      <x:c r="E5" s="13" t="n">
        <x:v>108360</x:v>
      </x:c>
      <x:c r="F5" s="13" t="n">
        <x:v>8</x:v>
      </x:c>
      <x:c r="G5" s="13" t="n">
        <x:v>866880</x:v>
      </x:c>
      <x:c r="H5" s="13" t="n">
        <x:v>112694</x:v>
      </x:c>
      <x:c r="I5" s="13" t="n">
        <x:v>979574</x:v>
      </x:c>
      <x:c r="J5" s="12" t="str">
        <x:v>KS-INJECTION-1000-P-202301-1-INV</x:v>
      </x:c>
      <x:c r="K5" s="12" t="str">
        <x:v>KS-INJECTION-1000-P-202301-1-GRN</x:v>
      </x:c>
      <x:c r="L5" s="12" t="str">
        <x:v>SYNTHETIC</x:v>
      </x:c>
    </x:row>
    <x:row r="6" ht="38" customHeight="1">
      <x:c r="A6" s="12" t="str">
        <x:v>KS-INJECTION-1000-P-202301-2</x:v>
      </x:c>
      <x:c r="B6" s="14" t="n">
        <x:v>44934</x:v>
      </x:c>
      <x:c r="C6" s="12" t="str">
        <x:v>模拟原料商2</x:v>
      </x:c>
      <x:c r="D6" s="12" t="str">
        <x:v>PP粒子</x:v>
      </x:c>
      <x:c r="E6" s="13" t="n">
        <x:v>72240</x:v>
      </x:c>
      <x:c r="F6" s="13" t="n">
        <x:v>8</x:v>
      </x:c>
      <x:c r="G6" s="13" t="n">
        <x:v>577920</x:v>
      </x:c>
      <x:c r="H6" s="13" t="n">
        <x:v>75130</x:v>
      </x:c>
      <x:c r="I6" s="13" t="n">
        <x:v>653050</x:v>
      </x:c>
      <x:c r="J6" s="12" t="str">
        <x:v>KS-INJECTION-1000-P-202301-2-INV</x:v>
      </x:c>
      <x:c r="K6" s="12" t="str">
        <x:v>KS-INJECTION-1000-P-202301-2-GRN</x:v>
      </x:c>
      <x:c r="L6" s="12" t="str">
        <x:v>SYNTHETIC</x:v>
      </x:c>
    </x:row>
    <x:row r="7" ht="38" customHeight="1">
      <x:c r="A7" s="12" t="str">
        <x:v>KS-INJECTION-1000-P-202302-1</x:v>
      </x:c>
      <x:c r="B7" s="14" t="n">
        <x:v>44965</x:v>
      </x:c>
      <x:c r="C7" s="12" t="str">
        <x:v>模拟原料商1</x:v>
      </x:c>
      <x:c r="D7" s="12" t="str">
        <x:v>PP粒子</x:v>
      </x:c>
      <x:c r="E7" s="13" t="n">
        <x:v>97524</x:v>
      </x:c>
      <x:c r="F7" s="13" t="n">
        <x:v>8</x:v>
      </x:c>
      <x:c r="G7" s="13" t="n">
        <x:v>780192</x:v>
      </x:c>
      <x:c r="H7" s="13" t="n">
        <x:v>101425</x:v>
      </x:c>
      <x:c r="I7" s="13" t="n">
        <x:v>881617</x:v>
      </x:c>
      <x:c r="J7" s="12" t="str">
        <x:v>KS-INJECTION-1000-P-202302-1-INV</x:v>
      </x:c>
      <x:c r="K7" s="12" t="str">
        <x:v>KS-INJECTION-1000-P-202302-1-GRN</x:v>
      </x:c>
      <x:c r="L7" s="12" t="str">
        <x:v>SYNTHETIC</x:v>
      </x:c>
    </x:row>
    <x:row r="8" ht="38" customHeight="1">
      <x:c r="A8" s="12" t="str">
        <x:v>KS-INJECTION-1000-P-202302-2</x:v>
      </x:c>
      <x:c r="B8" s="14" t="n">
        <x:v>44965</x:v>
      </x:c>
      <x:c r="C8" s="12" t="str">
        <x:v>模拟原料商2</x:v>
      </x:c>
      <x:c r="D8" s="12" t="str">
        <x:v>PP粒子</x:v>
      </x:c>
      <x:c r="E8" s="13" t="n">
        <x:v>65016</x:v>
      </x:c>
      <x:c r="F8" s="13" t="n">
        <x:v>8</x:v>
      </x:c>
      <x:c r="G8" s="13" t="n">
        <x:v>520128</x:v>
      </x:c>
      <x:c r="H8" s="13" t="n">
        <x:v>67617</x:v>
      </x:c>
      <x:c r="I8" s="13" t="n">
        <x:v>587745</x:v>
      </x:c>
      <x:c r="J8" s="12" t="str">
        <x:v>KS-INJECTION-1000-P-202302-2-INV</x:v>
      </x:c>
      <x:c r="K8" s="12" t="str">
        <x:v>KS-INJECTION-1000-P-202302-2-GRN</x:v>
      </x:c>
      <x:c r="L8" s="12" t="str">
        <x:v>SYNTHETIC</x:v>
      </x:c>
    </x:row>
    <x:row r="9" ht="38" customHeight="1">
      <x:c r="A9" s="12" t="str">
        <x:v>KS-INJECTION-1000-P-202303-1</x:v>
      </x:c>
      <x:c r="B9" s="14" t="n">
        <x:v>44993</x:v>
      </x:c>
      <x:c r="C9" s="12" t="str">
        <x:v>模拟原料商1</x:v>
      </x:c>
      <x:c r="D9" s="12" t="str">
        <x:v>PP粒子</x:v>
      </x:c>
      <x:c r="E9" s="13" t="n">
        <x:v>138159</x:v>
      </x:c>
      <x:c r="F9" s="13" t="n">
        <x:v>8</x:v>
      </x:c>
      <x:c r="G9" s="13" t="n">
        <x:v>1105272</x:v>
      </x:c>
      <x:c r="H9" s="13" t="n">
        <x:v>143686</x:v>
      </x:c>
      <x:c r="I9" s="13" t="n">
        <x:v>1248958</x:v>
      </x:c>
      <x:c r="J9" s="12" t="str">
        <x:v>KS-INJECTION-1000-P-202303-1-INV</x:v>
      </x:c>
      <x:c r="K9" s="12" t="str">
        <x:v>KS-INJECTION-1000-P-202303-1-GRN</x:v>
      </x:c>
      <x:c r="L9" s="12" t="str">
        <x:v>SYNTHETIC</x:v>
      </x:c>
    </x:row>
    <x:row r="10" ht="38" customHeight="1">
      <x:c r="A10" s="12" t="str">
        <x:v>KS-INJECTION-1000-P-202303-2</x:v>
      </x:c>
      <x:c r="B10" s="14" t="n">
        <x:v>44993</x:v>
      </x:c>
      <x:c r="C10" s="12" t="str">
        <x:v>模拟原料商2</x:v>
      </x:c>
      <x:c r="D10" s="12" t="str">
        <x:v>PP粒子</x:v>
      </x:c>
      <x:c r="E10" s="13" t="n">
        <x:v>92106</x:v>
      </x:c>
      <x:c r="F10" s="13" t="n">
        <x:v>8</x:v>
      </x:c>
      <x:c r="G10" s="13" t="n">
        <x:v>736848</x:v>
      </x:c>
      <x:c r="H10" s="13" t="n">
        <x:v>95790</x:v>
      </x:c>
      <x:c r="I10" s="13" t="n">
        <x:v>832638</x:v>
      </x:c>
      <x:c r="J10" s="12" t="str">
        <x:v>KS-INJECTION-1000-P-202303-2-INV</x:v>
      </x:c>
      <x:c r="K10" s="12" t="str">
        <x:v>KS-INJECTION-1000-P-202303-2-GRN</x:v>
      </x:c>
      <x:c r="L10" s="12" t="str">
        <x:v>SYNTHETIC</x:v>
      </x:c>
    </x:row>
    <x:row r="11" ht="38" customHeight="1">
      <x:c r="A11" s="12" t="str">
        <x:v>KS-INJECTION-1000-P-202304-1</x:v>
      </x:c>
      <x:c r="B11" s="14" t="n">
        <x:v>45024</x:v>
      </x:c>
      <x:c r="C11" s="12" t="str">
        <x:v>模拟原料商1</x:v>
      </x:c>
      <x:c r="D11" s="12" t="str">
        <x:v>PP粒子</x:v>
      </x:c>
      <x:c r="E11" s="13" t="n">
        <x:v>143577</x:v>
      </x:c>
      <x:c r="F11" s="13" t="n">
        <x:v>8</x:v>
      </x:c>
      <x:c r="G11" s="13" t="n">
        <x:v>1148616</x:v>
      </x:c>
      <x:c r="H11" s="13" t="n">
        <x:v>149320</x:v>
      </x:c>
      <x:c r="I11" s="13" t="n">
        <x:v>1297936</x:v>
      </x:c>
      <x:c r="J11" s="12" t="str">
        <x:v>KS-INJECTION-1000-P-202304-1-INV</x:v>
      </x:c>
      <x:c r="K11" s="12" t="str">
        <x:v>KS-INJECTION-1000-P-202304-1-GRN</x:v>
      </x:c>
      <x:c r="L11" s="12" t="str">
        <x:v>SYNTHETIC</x:v>
      </x:c>
    </x:row>
    <x:row r="12" ht="38" customHeight="1">
      <x:c r="A12" s="12" t="str">
        <x:v>KS-INJECTION-1000-P-202304-2</x:v>
      </x:c>
      <x:c r="B12" s="14" t="n">
        <x:v>45024</x:v>
      </x:c>
      <x:c r="C12" s="12" t="str">
        <x:v>模拟原料商2</x:v>
      </x:c>
      <x:c r="D12" s="12" t="str">
        <x:v>PP粒子</x:v>
      </x:c>
      <x:c r="E12" s="13" t="n">
        <x:v>95718</x:v>
      </x:c>
      <x:c r="F12" s="13" t="n">
        <x:v>8</x:v>
      </x:c>
      <x:c r="G12" s="13" t="n">
        <x:v>765744</x:v>
      </x:c>
      <x:c r="H12" s="13" t="n">
        <x:v>99547</x:v>
      </x:c>
      <x:c r="I12" s="13" t="n">
        <x:v>865291</x:v>
      </x:c>
      <x:c r="J12" s="12" t="str">
        <x:v>KS-INJECTION-1000-P-202304-2-INV</x:v>
      </x:c>
      <x:c r="K12" s="12" t="str">
        <x:v>KS-INJECTION-1000-P-202304-2-GRN</x:v>
      </x:c>
      <x:c r="L12" s="12" t="str">
        <x:v>SYNTHETIC</x:v>
      </x:c>
    </x:row>
    <x:row r="13" ht="38" customHeight="1">
      <x:c r="A13" s="12" t="str">
        <x:v>KS-INJECTION-1000-P-202305-1</x:v>
      </x:c>
      <x:c r="B13" s="14" t="n">
        <x:v>45054</x:v>
      </x:c>
      <x:c r="C13" s="12" t="str">
        <x:v>模拟原料商1</x:v>
      </x:c>
      <x:c r="D13" s="12" t="str">
        <x:v>PP粒子</x:v>
      </x:c>
      <x:c r="E13" s="13" t="n">
        <x:v>148995</x:v>
      </x:c>
      <x:c r="F13" s="13" t="n">
        <x:v>8</x:v>
      </x:c>
      <x:c r="G13" s="13" t="n">
        <x:v>1191960</x:v>
      </x:c>
      <x:c r="H13" s="13" t="n">
        <x:v>154955</x:v>
      </x:c>
      <x:c r="I13" s="13" t="n">
        <x:v>1346915</x:v>
      </x:c>
      <x:c r="J13" s="12" t="str">
        <x:v>KS-INJECTION-1000-P-202305-1-INV</x:v>
      </x:c>
      <x:c r="K13" s="12" t="str">
        <x:v>KS-INJECTION-1000-P-202305-1-GRN</x:v>
      </x:c>
      <x:c r="L13" s="12" t="str">
        <x:v>SYNTHETIC</x:v>
      </x:c>
    </x:row>
    <x:row r="14" ht="38" customHeight="1">
      <x:c r="A14" s="12" t="str">
        <x:v>KS-INJECTION-1000-P-202305-2</x:v>
      </x:c>
      <x:c r="B14" s="14" t="n">
        <x:v>45054</x:v>
      </x:c>
      <x:c r="C14" s="12" t="str">
        <x:v>模拟原料商2</x:v>
      </x:c>
      <x:c r="D14" s="12" t="str">
        <x:v>PP粒子</x:v>
      </x:c>
      <x:c r="E14" s="13" t="n">
        <x:v>99330</x:v>
      </x:c>
      <x:c r="F14" s="13" t="n">
        <x:v>8</x:v>
      </x:c>
      <x:c r="G14" s="13" t="n">
        <x:v>794640</x:v>
      </x:c>
      <x:c r="H14" s="13" t="n">
        <x:v>103303</x:v>
      </x:c>
      <x:c r="I14" s="13" t="n">
        <x:v>897943</x:v>
      </x:c>
      <x:c r="J14" s="12" t="str">
        <x:v>KS-INJECTION-1000-P-202305-2-INV</x:v>
      </x:c>
      <x:c r="K14" s="12" t="str">
        <x:v>KS-INJECTION-1000-P-202305-2-GRN</x:v>
      </x:c>
      <x:c r="L14" s="12" t="str">
        <x:v>SYNTHETIC</x:v>
      </x:c>
    </x:row>
    <x:row r="15" ht="38" customHeight="1">
      <x:c r="A15" s="12" t="str">
        <x:v>KS-INJECTION-1000-P-202306-1</x:v>
      </x:c>
      <x:c r="B15" s="14" t="n">
        <x:v>45085</x:v>
      </x:c>
      <x:c r="C15" s="12" t="str">
        <x:v>模拟原料商1</x:v>
      </x:c>
      <x:c r="D15" s="12" t="str">
        <x:v>PP粒子</x:v>
      </x:c>
      <x:c r="E15" s="13" t="n">
        <x:v>142222.5</x:v>
      </x:c>
      <x:c r="F15" s="13" t="n">
        <x:v>8</x:v>
      </x:c>
      <x:c r="G15" s="13" t="n">
        <x:v>1137780</x:v>
      </x:c>
      <x:c r="H15" s="13" t="n">
        <x:v>147911</x:v>
      </x:c>
      <x:c r="I15" s="13" t="n">
        <x:v>1285691</x:v>
      </x:c>
      <x:c r="J15" s="12" t="str">
        <x:v>KS-INJECTION-1000-P-202306-1-INV</x:v>
      </x:c>
      <x:c r="K15" s="12" t="str">
        <x:v>KS-INJECTION-1000-P-202306-1-GRN</x:v>
      </x:c>
      <x:c r="L15" s="12" t="str">
        <x:v>SYNTHETIC</x:v>
      </x:c>
    </x:row>
    <x:row r="16" ht="38" customHeight="1">
      <x:c r="A16" s="12" t="str">
        <x:v>KS-INJECTION-1000-P-202306-2</x:v>
      </x:c>
      <x:c r="B16" s="14" t="n">
        <x:v>45085</x:v>
      </x:c>
      <x:c r="C16" s="12" t="str">
        <x:v>模拟原料商2</x:v>
      </x:c>
      <x:c r="D16" s="12" t="str">
        <x:v>PP粒子</x:v>
      </x:c>
      <x:c r="E16" s="13" t="n">
        <x:v>94815</x:v>
      </x:c>
      <x:c r="F16" s="13" t="n">
        <x:v>8</x:v>
      </x:c>
      <x:c r="G16" s="13" t="n">
        <x:v>758520</x:v>
      </x:c>
      <x:c r="H16" s="13" t="n">
        <x:v>98608</x:v>
      </x:c>
      <x:c r="I16" s="13" t="n">
        <x:v>857128</x:v>
      </x:c>
      <x:c r="J16" s="12" t="str">
        <x:v>KS-INJECTION-1000-P-202306-2-INV</x:v>
      </x:c>
      <x:c r="K16" s="12" t="str">
        <x:v>KS-INJECTION-1000-P-202306-2-GRN</x:v>
      </x:c>
      <x:c r="L16" s="12" t="str">
        <x:v>SYNTHETIC</x:v>
      </x:c>
    </x:row>
    <x:row r="17" ht="38" customHeight="1">
      <x:c r="A17" s="12" t="str">
        <x:v>KS-INJECTION-1000-P-202307-1</x:v>
      </x:c>
      <x:c r="B17" s="14" t="n">
        <x:v>45115</x:v>
      </x:c>
      <x:c r="C17" s="12" t="str">
        <x:v>模拟原料商1</x:v>
      </x:c>
      <x:c r="D17" s="12" t="str">
        <x:v>PP粒子</x:v>
      </x:c>
      <x:c r="E17" s="13" t="n">
        <x:v>146286</x:v>
      </x:c>
      <x:c r="F17" s="13" t="n">
        <x:v>8</x:v>
      </x:c>
      <x:c r="G17" s="13" t="n">
        <x:v>1170288</x:v>
      </x:c>
      <x:c r="H17" s="13" t="n">
        <x:v>152137</x:v>
      </x:c>
      <x:c r="I17" s="13" t="n">
        <x:v>1322425</x:v>
      </x:c>
      <x:c r="J17" s="12" t="str">
        <x:v>KS-INJECTION-1000-P-202307-1-INV</x:v>
      </x:c>
      <x:c r="K17" s="12" t="str">
        <x:v>KS-INJECTION-1000-P-202307-1-GRN</x:v>
      </x:c>
      <x:c r="L17" s="12" t="str">
        <x:v>SYNTHETIC</x:v>
      </x:c>
    </x:row>
    <x:row r="18" ht="38" customHeight="1">
      <x:c r="A18" s="12" t="str">
        <x:v>KS-INJECTION-1000-P-202307-2</x:v>
      </x:c>
      <x:c r="B18" s="14" t="n">
        <x:v>45115</x:v>
      </x:c>
      <x:c r="C18" s="12" t="str">
        <x:v>模拟原料商2</x:v>
      </x:c>
      <x:c r="D18" s="12" t="str">
        <x:v>PP粒子</x:v>
      </x:c>
      <x:c r="E18" s="13" t="n">
        <x:v>97524</x:v>
      </x:c>
      <x:c r="F18" s="13" t="n">
        <x:v>8</x:v>
      </x:c>
      <x:c r="G18" s="13" t="n">
        <x:v>780192</x:v>
      </x:c>
      <x:c r="H18" s="13" t="n">
        <x:v>101425</x:v>
      </x:c>
      <x:c r="I18" s="13" t="n">
        <x:v>881617</x:v>
      </x:c>
      <x:c r="J18" s="12" t="str">
        <x:v>KS-INJECTION-1000-P-202307-2-INV</x:v>
      </x:c>
      <x:c r="K18" s="12" t="str">
        <x:v>KS-INJECTION-1000-P-202307-2-GRN</x:v>
      </x:c>
      <x:c r="L18" s="12" t="str">
        <x:v>SYNTHETIC</x:v>
      </x:c>
    </x:row>
    <x:row r="19" ht="38" customHeight="1">
      <x:c r="A19" s="12" t="str">
        <x:v>KS-INJECTION-1000-P-202308-1</x:v>
      </x:c>
      <x:c r="B19" s="14" t="n">
        <x:v>45146</x:v>
      </x:c>
      <x:c r="C19" s="12" t="str">
        <x:v>模拟原料商1</x:v>
      </x:c>
      <x:c r="D19" s="12" t="str">
        <x:v>PP粒子</x:v>
      </x:c>
      <x:c r="E19" s="13" t="n">
        <x:v>146286</x:v>
      </x:c>
      <x:c r="F19" s="13" t="n">
        <x:v>8</x:v>
      </x:c>
      <x:c r="G19" s="13" t="n">
        <x:v>1170288</x:v>
      </x:c>
      <x:c r="H19" s="13" t="n">
        <x:v>152137</x:v>
      </x:c>
      <x:c r="I19" s="13" t="n">
        <x:v>1322425</x:v>
      </x:c>
      <x:c r="J19" s="12" t="str">
        <x:v>KS-INJECTION-1000-P-202308-1-INV</x:v>
      </x:c>
      <x:c r="K19" s="12" t="str">
        <x:v>KS-INJECTION-1000-P-202308-1-GRN</x:v>
      </x:c>
      <x:c r="L19" s="12" t="str">
        <x:v>SYNTHETIC</x:v>
      </x:c>
    </x:row>
    <x:row r="20" ht="38" customHeight="1">
      <x:c r="A20" s="12" t="str">
        <x:v>KS-INJECTION-1000-P-202308-2</x:v>
      </x:c>
      <x:c r="B20" s="14" t="n">
        <x:v>45146</x:v>
      </x:c>
      <x:c r="C20" s="12" t="str">
        <x:v>模拟原料商2</x:v>
      </x:c>
      <x:c r="D20" s="12" t="str">
        <x:v>PP粒子</x:v>
      </x:c>
      <x:c r="E20" s="13" t="n">
        <x:v>97524</x:v>
      </x:c>
      <x:c r="F20" s="13" t="n">
        <x:v>8</x:v>
      </x:c>
      <x:c r="G20" s="13" t="n">
        <x:v>780192</x:v>
      </x:c>
      <x:c r="H20" s="13" t="n">
        <x:v>101425</x:v>
      </x:c>
      <x:c r="I20" s="13" t="n">
        <x:v>881617</x:v>
      </x:c>
      <x:c r="J20" s="12" t="str">
        <x:v>KS-INJECTION-1000-P-202308-2-INV</x:v>
      </x:c>
      <x:c r="K20" s="12" t="str">
        <x:v>KS-INJECTION-1000-P-202308-2-GRN</x:v>
      </x:c>
      <x:c r="L20" s="12" t="str">
        <x:v>SYNTHETIC</x:v>
      </x:c>
    </x:row>
    <x:row r="21" ht="38" customHeight="1">
      <x:c r="A21" s="12" t="str">
        <x:v>KS-INJECTION-1000-P-202309-1</x:v>
      </x:c>
      <x:c r="B21" s="14" t="n">
        <x:v>45177</x:v>
      </x:c>
      <x:c r="C21" s="12" t="str">
        <x:v>模拟原料商1</x:v>
      </x:c>
      <x:c r="D21" s="12" t="str">
        <x:v>PP粒子</x:v>
      </x:c>
      <x:c r="E21" s="13" t="n">
        <x:v>140868</x:v>
      </x:c>
      <x:c r="F21" s="13" t="n">
        <x:v>8</x:v>
      </x:c>
      <x:c r="G21" s="13" t="n">
        <x:v>1126944</x:v>
      </x:c>
      <x:c r="H21" s="13" t="n">
        <x:v>146503</x:v>
      </x:c>
      <x:c r="I21" s="13" t="n">
        <x:v>1273447</x:v>
      </x:c>
      <x:c r="J21" s="12" t="str">
        <x:v>KS-INJECTION-1000-P-202309-1-INV</x:v>
      </x:c>
      <x:c r="K21" s="12" t="str">
        <x:v>KS-INJECTION-1000-P-202309-1-GRN</x:v>
      </x:c>
      <x:c r="L21" s="12" t="str">
        <x:v>SYNTHETIC</x:v>
      </x:c>
    </x:row>
    <x:row r="22" ht="38" customHeight="1">
      <x:c r="A22" s="12" t="str">
        <x:v>KS-INJECTION-1000-P-202309-2</x:v>
      </x:c>
      <x:c r="B22" s="14" t="n">
        <x:v>45177</x:v>
      </x:c>
      <x:c r="C22" s="12" t="str">
        <x:v>模拟原料商2</x:v>
      </x:c>
      <x:c r="D22" s="12" t="str">
        <x:v>PP粒子</x:v>
      </x:c>
      <x:c r="E22" s="13" t="n">
        <x:v>93912</x:v>
      </x:c>
      <x:c r="F22" s="13" t="n">
        <x:v>8</x:v>
      </x:c>
      <x:c r="G22" s="13" t="n">
        <x:v>751296</x:v>
      </x:c>
      <x:c r="H22" s="13" t="n">
        <x:v>97668</x:v>
      </x:c>
      <x:c r="I22" s="13" t="n">
        <x:v>848964</x:v>
      </x:c>
      <x:c r="J22" s="12" t="str">
        <x:v>KS-INJECTION-1000-P-202309-2-INV</x:v>
      </x:c>
      <x:c r="K22" s="12" t="str">
        <x:v>KS-INJECTION-1000-P-202309-2-GRN</x:v>
      </x:c>
      <x:c r="L22" s="12" t="str">
        <x:v>SYNTHETIC</x:v>
      </x:c>
    </x:row>
    <x:row r="23" ht="38" customHeight="1">
      <x:c r="A23" s="12" t="str">
        <x:v>KS-INJECTION-1000-P-202310-1</x:v>
      </x:c>
      <x:c r="B23" s="14" t="n">
        <x:v>45207</x:v>
      </x:c>
      <x:c r="C23" s="12" t="str">
        <x:v>模拟原料商1</x:v>
      </x:c>
      <x:c r="D23" s="12" t="str">
        <x:v>PP粒子</x:v>
      </x:c>
      <x:c r="E23" s="13" t="n">
        <x:v>138159</x:v>
      </x:c>
      <x:c r="F23" s="13" t="n">
        <x:v>8</x:v>
      </x:c>
      <x:c r="G23" s="13" t="n">
        <x:v>1105272</x:v>
      </x:c>
      <x:c r="H23" s="13" t="n">
        <x:v>143686</x:v>
      </x:c>
      <x:c r="I23" s="13" t="n">
        <x:v>1248958</x:v>
      </x:c>
      <x:c r="J23" s="12" t="str">
        <x:v>KS-INJECTION-1000-P-202310-1-INV</x:v>
      </x:c>
      <x:c r="K23" s="12" t="str">
        <x:v>KS-INJECTION-1000-P-202310-1-GRN</x:v>
      </x:c>
      <x:c r="L23" s="12" t="str">
        <x:v>SYNTHETIC</x:v>
      </x:c>
    </x:row>
    <x:row r="24" ht="38" customHeight="1">
      <x:c r="A24" s="12" t="str">
        <x:v>KS-INJECTION-1000-P-202310-2</x:v>
      </x:c>
      <x:c r="B24" s="14" t="n">
        <x:v>45207</x:v>
      </x:c>
      <x:c r="C24" s="12" t="str">
        <x:v>模拟原料商2</x:v>
      </x:c>
      <x:c r="D24" s="12" t="str">
        <x:v>PP粒子</x:v>
      </x:c>
      <x:c r="E24" s="13" t="n">
        <x:v>92106</x:v>
      </x:c>
      <x:c r="F24" s="13" t="n">
        <x:v>8</x:v>
      </x:c>
      <x:c r="G24" s="13" t="n">
        <x:v>736848</x:v>
      </x:c>
      <x:c r="H24" s="13" t="n">
        <x:v>95790</x:v>
      </x:c>
      <x:c r="I24" s="13" t="n">
        <x:v>832638</x:v>
      </x:c>
      <x:c r="J24" s="12" t="str">
        <x:v>KS-INJECTION-1000-P-202310-2-INV</x:v>
      </x:c>
      <x:c r="K24" s="12" t="str">
        <x:v>KS-INJECTION-1000-P-202310-2-GRN</x:v>
      </x:c>
      <x:c r="L24" s="12" t="str">
        <x:v>SYNTHETIC</x:v>
      </x:c>
    </x:row>
    <x:row r="25" ht="38" customHeight="1">
      <x:c r="A25" s="12" t="str">
        <x:v>KS-INJECTION-1000-P-202311-1</x:v>
      </x:c>
      <x:c r="B25" s="14" t="n">
        <x:v>45238</x:v>
      </x:c>
      <x:c r="C25" s="12" t="str">
        <x:v>模拟原料商1</x:v>
      </x:c>
      <x:c r="D25" s="12" t="str">
        <x:v>PP粒子</x:v>
      </x:c>
      <x:c r="E25" s="13" t="n">
        <x:v>143577</x:v>
      </x:c>
      <x:c r="F25" s="13" t="n">
        <x:v>8</x:v>
      </x:c>
      <x:c r="G25" s="13" t="n">
        <x:v>1148616</x:v>
      </x:c>
      <x:c r="H25" s="13" t="n">
        <x:v>149320</x:v>
      </x:c>
      <x:c r="I25" s="13" t="n">
        <x:v>1297936</x:v>
      </x:c>
      <x:c r="J25" s="12" t="str">
        <x:v>KS-INJECTION-1000-P-202311-1-INV</x:v>
      </x:c>
      <x:c r="K25" s="12" t="str">
        <x:v>KS-INJECTION-1000-P-202311-1-GRN</x:v>
      </x:c>
      <x:c r="L25" s="12" t="str">
        <x:v>SYNTHETIC</x:v>
      </x:c>
    </x:row>
    <x:row r="26" ht="38" customHeight="1">
      <x:c r="A26" s="12" t="str">
        <x:v>KS-INJECTION-1000-P-202311-2</x:v>
      </x:c>
      <x:c r="B26" s="14" t="n">
        <x:v>45238</x:v>
      </x:c>
      <x:c r="C26" s="12" t="str">
        <x:v>模拟原料商2</x:v>
      </x:c>
      <x:c r="D26" s="12" t="str">
        <x:v>PP粒子</x:v>
      </x:c>
      <x:c r="E26" s="13" t="n">
        <x:v>95718</x:v>
      </x:c>
      <x:c r="F26" s="13" t="n">
        <x:v>8</x:v>
      </x:c>
      <x:c r="G26" s="13" t="n">
        <x:v>765744</x:v>
      </x:c>
      <x:c r="H26" s="13" t="n">
        <x:v>99547</x:v>
      </x:c>
      <x:c r="I26" s="13" t="n">
        <x:v>865291</x:v>
      </x:c>
      <x:c r="J26" s="12" t="str">
        <x:v>KS-INJECTION-1000-P-202311-2-INV</x:v>
      </x:c>
      <x:c r="K26" s="12" t="str">
        <x:v>KS-INJECTION-1000-P-202311-2-GRN</x:v>
      </x:c>
      <x:c r="L26" s="12" t="str">
        <x:v>SYNTHETIC</x:v>
      </x:c>
    </x:row>
    <x:row r="27" ht="38" customHeight="1">
      <x:c r="A27" s="12" t="str">
        <x:v>KS-INJECTION-1000-P-202312-1</x:v>
      </x:c>
      <x:c r="B27" s="14" t="n">
        <x:v>45268</x:v>
      </x:c>
      <x:c r="C27" s="12" t="str">
        <x:v>模拟原料商1</x:v>
      </x:c>
      <x:c r="D27" s="12" t="str">
        <x:v>PP粒子</x:v>
      </x:c>
      <x:c r="E27" s="13" t="n">
        <x:v>148995</x:v>
      </x:c>
      <x:c r="F27" s="13" t="n">
        <x:v>8</x:v>
      </x:c>
      <x:c r="G27" s="13" t="n">
        <x:v>1191960</x:v>
      </x:c>
      <x:c r="H27" s="13" t="n">
        <x:v>154955</x:v>
      </x:c>
      <x:c r="I27" s="13" t="n">
        <x:v>1346915</x:v>
      </x:c>
      <x:c r="J27" s="12" t="str">
        <x:v>KS-INJECTION-1000-P-202312-1-INV</x:v>
      </x:c>
      <x:c r="K27" s="12" t="str">
        <x:v>KS-INJECTION-1000-P-202312-1-GRN</x:v>
      </x:c>
      <x:c r="L27" s="12" t="str">
        <x:v>SYNTHETIC</x:v>
      </x:c>
    </x:row>
    <x:row r="28" ht="38" customHeight="1">
      <x:c r="A28" s="12" t="str">
        <x:v>KS-INJECTION-1000-P-202312-2</x:v>
      </x:c>
      <x:c r="B28" s="14" t="n">
        <x:v>45268</x:v>
      </x:c>
      <x:c r="C28" s="12" t="str">
        <x:v>模拟原料商2</x:v>
      </x:c>
      <x:c r="D28" s="12" t="str">
        <x:v>PP粒子</x:v>
      </x:c>
      <x:c r="E28" s="13" t="n">
        <x:v>99330</x:v>
      </x:c>
      <x:c r="F28" s="13" t="n">
        <x:v>8</x:v>
      </x:c>
      <x:c r="G28" s="13" t="n">
        <x:v>794640</x:v>
      </x:c>
      <x:c r="H28" s="13" t="n">
        <x:v>103303</x:v>
      </x:c>
      <x:c r="I28" s="13" t="n">
        <x:v>897943</x:v>
      </x:c>
      <x:c r="J28" s="12" t="str">
        <x:v>KS-INJECTION-1000-P-202312-2-INV</x:v>
      </x:c>
      <x:c r="K28" s="12" t="str">
        <x:v>KS-INJECTION-1000-P-202312-2-GRN</x:v>
      </x:c>
      <x:c r="L28" s="12" t="str">
        <x:v>SYNTHETIC</x:v>
      </x:c>
    </x:row>
    <x:row r="29" ht="38" customHeight="1">
      <x:c r="A29" s="12" t="str">
        <x:v>KS-INJECTION-1000-P-202401-1</x:v>
      </x:c>
      <x:c r="B29" s="14" t="n">
        <x:v>45299</x:v>
      </x:c>
      <x:c r="C29" s="12" t="str">
        <x:v>模拟原料商1</x:v>
      </x:c>
      <x:c r="D29" s="12" t="str">
        <x:v>PP粒子</x:v>
      </x:c>
      <x:c r="E29" s="13" t="n">
        <x:v>117028.75</x:v>
      </x:c>
      <x:c r="F29" s="13" t="n">
        <x:v>8</x:v>
      </x:c>
      <x:c r="G29" s="13" t="n">
        <x:v>936230</x:v>
      </x:c>
      <x:c r="H29" s="13" t="n">
        <x:v>121710</x:v>
      </x:c>
      <x:c r="I29" s="13" t="n">
        <x:v>1057940</x:v>
      </x:c>
      <x:c r="J29" s="12" t="str">
        <x:v>KS-INJECTION-1000-P-202401-1-INV</x:v>
      </x:c>
      <x:c r="K29" s="12" t="str">
        <x:v>KS-INJECTION-1000-P-202401-1-GRN</x:v>
      </x:c>
      <x:c r="L29" s="12" t="str">
        <x:v>SYNTHETIC</x:v>
      </x:c>
    </x:row>
    <x:row r="30" ht="38" customHeight="1">
      <x:c r="A30" s="12" t="str">
        <x:v>KS-INJECTION-1000-P-202401-2</x:v>
      </x:c>
      <x:c r="B30" s="14" t="n">
        <x:v>45299</x:v>
      </x:c>
      <x:c r="C30" s="12" t="str">
        <x:v>模拟原料商2</x:v>
      </x:c>
      <x:c r="D30" s="12" t="str">
        <x:v>PP粒子</x:v>
      </x:c>
      <x:c r="E30" s="13" t="n">
        <x:v>78019.25</x:v>
      </x:c>
      <x:c r="F30" s="13" t="n">
        <x:v>8</x:v>
      </x:c>
      <x:c r="G30" s="13" t="n">
        <x:v>624154</x:v>
      </x:c>
      <x:c r="H30" s="13" t="n">
        <x:v>81140</x:v>
      </x:c>
      <x:c r="I30" s="13" t="n">
        <x:v>705294</x:v>
      </x:c>
      <x:c r="J30" s="12" t="str">
        <x:v>KS-INJECTION-1000-P-202401-2-INV</x:v>
      </x:c>
      <x:c r="K30" s="12" t="str">
        <x:v>KS-INJECTION-1000-P-202401-2-GRN</x:v>
      </x:c>
      <x:c r="L30" s="12" t="str">
        <x:v>SYNTHETIC</x:v>
      </x:c>
    </x:row>
    <x:row r="31" ht="38" customHeight="1">
      <x:c r="A31" s="12" t="str">
        <x:v>KS-INJECTION-1000-P-202402-1</x:v>
      </x:c>
      <x:c r="B31" s="14" t="n">
        <x:v>45330</x:v>
      </x:c>
      <x:c r="C31" s="12" t="str">
        <x:v>模拟原料商1</x:v>
      </x:c>
      <x:c r="D31" s="12" t="str">
        <x:v>PP粒子</x:v>
      </x:c>
      <x:c r="E31" s="13" t="n">
        <x:v>105326</x:v>
      </x:c>
      <x:c r="F31" s="13" t="n">
        <x:v>8</x:v>
      </x:c>
      <x:c r="G31" s="13" t="n">
        <x:v>842608</x:v>
      </x:c>
      <x:c r="H31" s="13" t="n">
        <x:v>109539</x:v>
      </x:c>
      <x:c r="I31" s="13" t="n">
        <x:v>952147</x:v>
      </x:c>
      <x:c r="J31" s="12" t="str">
        <x:v>KS-INJECTION-1000-P-202402-1-INV</x:v>
      </x:c>
      <x:c r="K31" s="12" t="str">
        <x:v>KS-INJECTION-1000-P-202402-1-GRN</x:v>
      </x:c>
      <x:c r="L31" s="12" t="str">
        <x:v>SYNTHETIC</x:v>
      </x:c>
    </x:row>
    <x:row r="32" ht="38" customHeight="1">
      <x:c r="A32" s="12" t="str">
        <x:v>KS-INJECTION-1000-P-202402-2</x:v>
      </x:c>
      <x:c r="B32" s="14" t="n">
        <x:v>45330</x:v>
      </x:c>
      <x:c r="C32" s="12" t="str">
        <x:v>模拟原料商2</x:v>
      </x:c>
      <x:c r="D32" s="12" t="str">
        <x:v>PP粒子</x:v>
      </x:c>
      <x:c r="E32" s="13" t="n">
        <x:v>70217.25</x:v>
      </x:c>
      <x:c r="F32" s="13" t="n">
        <x:v>8</x:v>
      </x:c>
      <x:c r="G32" s="13" t="n">
        <x:v>561738</x:v>
      </x:c>
      <x:c r="H32" s="13" t="n">
        <x:v>73026</x:v>
      </x:c>
      <x:c r="I32" s="13" t="n">
        <x:v>634764</x:v>
      </x:c>
      <x:c r="J32" s="12" t="str">
        <x:v>KS-INJECTION-1000-P-202402-2-INV</x:v>
      </x:c>
      <x:c r="K32" s="12" t="str">
        <x:v>KS-INJECTION-1000-P-202402-2-GRN</x:v>
      </x:c>
      <x:c r="L32" s="12" t="str">
        <x:v>SYNTHETIC</x:v>
      </x:c>
    </x:row>
    <x:row r="33" ht="38" customHeight="1">
      <x:c r="A33" s="12" t="str">
        <x:v>KS-INJECTION-1000-P-202403-1</x:v>
      </x:c>
      <x:c r="B33" s="14" t="n">
        <x:v>45359</x:v>
      </x:c>
      <x:c r="C33" s="12" t="str">
        <x:v>模拟原料商1</x:v>
      </x:c>
      <x:c r="D33" s="12" t="str">
        <x:v>PP粒子</x:v>
      </x:c>
      <x:c r="E33" s="13" t="n">
        <x:v>149211.75</x:v>
      </x:c>
      <x:c r="F33" s="13" t="n">
        <x:v>8</x:v>
      </x:c>
      <x:c r="G33" s="13" t="n">
        <x:v>1193694</x:v>
      </x:c>
      <x:c r="H33" s="13" t="n">
        <x:v>155180</x:v>
      </x:c>
      <x:c r="I33" s="13" t="n">
        <x:v>1348874</x:v>
      </x:c>
      <x:c r="J33" s="12" t="str">
        <x:v>KS-INJECTION-1000-P-202403-1-INV</x:v>
      </x:c>
      <x:c r="K33" s="12" t="str">
        <x:v>KS-INJECTION-1000-P-202403-1-GRN</x:v>
      </x:c>
      <x:c r="L33" s="12" t="str">
        <x:v>SYNTHETIC</x:v>
      </x:c>
    </x:row>
    <x:row r="34" ht="38" customHeight="1">
      <x:c r="A34" s="12" t="str">
        <x:v>KS-INJECTION-1000-P-202403-2</x:v>
      </x:c>
      <x:c r="B34" s="14" t="n">
        <x:v>45359</x:v>
      </x:c>
      <x:c r="C34" s="12" t="str">
        <x:v>模拟原料商2</x:v>
      </x:c>
      <x:c r="D34" s="12" t="str">
        <x:v>PP粒子</x:v>
      </x:c>
      <x:c r="E34" s="13" t="n">
        <x:v>99474.5</x:v>
      </x:c>
      <x:c r="F34" s="13" t="n">
        <x:v>8</x:v>
      </x:c>
      <x:c r="G34" s="13" t="n">
        <x:v>795796</x:v>
      </x:c>
      <x:c r="H34" s="13" t="n">
        <x:v>103454</x:v>
      </x:c>
      <x:c r="I34" s="13" t="n">
        <x:v>899250</x:v>
      </x:c>
      <x:c r="J34" s="12" t="str">
        <x:v>KS-INJECTION-1000-P-202403-2-INV</x:v>
      </x:c>
      <x:c r="K34" s="12" t="str">
        <x:v>KS-INJECTION-1000-P-202403-2-GRN</x:v>
      </x:c>
      <x:c r="L34" s="12" t="str">
        <x:v>SYNTHETIC</x:v>
      </x:c>
    </x:row>
    <x:row r="35" ht="38" customHeight="1">
      <x:c r="A35" s="12" t="str">
        <x:v>KS-INJECTION-1000-P-202404-1</x:v>
      </x:c>
      <x:c r="B35" s="14" t="n">
        <x:v>45390</x:v>
      </x:c>
      <x:c r="C35" s="12" t="str">
        <x:v>模拟原料商1</x:v>
      </x:c>
      <x:c r="D35" s="12" t="str">
        <x:v>PP粒子</x:v>
      </x:c>
      <x:c r="E35" s="13" t="n">
        <x:v>155063.125</x:v>
      </x:c>
      <x:c r="F35" s="13" t="n">
        <x:v>8</x:v>
      </x:c>
      <x:c r="G35" s="13" t="n">
        <x:v>1240505</x:v>
      </x:c>
      <x:c r="H35" s="13" t="n">
        <x:v>161266</x:v>
      </x:c>
      <x:c r="I35" s="13" t="n">
        <x:v>1401771</x:v>
      </x:c>
      <x:c r="J35" s="12" t="str">
        <x:v>KS-INJECTION-1000-P-202404-1-INV</x:v>
      </x:c>
      <x:c r="K35" s="12" t="str">
        <x:v>KS-INJECTION-1000-P-202404-1-GRN</x:v>
      </x:c>
      <x:c r="L35" s="12" t="str">
        <x:v>SYNTHETIC</x:v>
      </x:c>
    </x:row>
    <x:row r="36" ht="38" customHeight="1">
      <x:c r="A36" s="12" t="str">
        <x:v>KS-INJECTION-1000-P-202404-2</x:v>
      </x:c>
      <x:c r="B36" s="14" t="n">
        <x:v>45390</x:v>
      </x:c>
      <x:c r="C36" s="12" t="str">
        <x:v>模拟原料商2</x:v>
      </x:c>
      <x:c r="D36" s="12" t="str">
        <x:v>PP粒子</x:v>
      </x:c>
      <x:c r="E36" s="13" t="n">
        <x:v>103375.5</x:v>
      </x:c>
      <x:c r="F36" s="13" t="n">
        <x:v>8</x:v>
      </x:c>
      <x:c r="G36" s="13" t="n">
        <x:v>827004</x:v>
      </x:c>
      <x:c r="H36" s="13" t="n">
        <x:v>107510</x:v>
      </x:c>
      <x:c r="I36" s="13" t="n">
        <x:v>934514</x:v>
      </x:c>
      <x:c r="J36" s="12" t="str">
        <x:v>KS-INJECTION-1000-P-202404-2-INV</x:v>
      </x:c>
      <x:c r="K36" s="12" t="str">
        <x:v>KS-INJECTION-1000-P-202404-2-GRN</x:v>
      </x:c>
      <x:c r="L36" s="12" t="str">
        <x:v>SYNTHETIC</x:v>
      </x:c>
    </x:row>
    <x:row r="37" ht="38" customHeight="1">
      <x:c r="A37" s="12" t="str">
        <x:v>KS-INJECTION-1000-P-202405-1</x:v>
      </x:c>
      <x:c r="B37" s="14" t="n">
        <x:v>45420</x:v>
      </x:c>
      <x:c r="C37" s="12" t="str">
        <x:v>模拟原料商1</x:v>
      </x:c>
      <x:c r="D37" s="12" t="str">
        <x:v>PP粒子</x:v>
      </x:c>
      <x:c r="E37" s="13" t="n">
        <x:v>160914.625</x:v>
      </x:c>
      <x:c r="F37" s="13" t="n">
        <x:v>8</x:v>
      </x:c>
      <x:c r="G37" s="13" t="n">
        <x:v>1287317</x:v>
      </x:c>
      <x:c r="H37" s="13" t="n">
        <x:v>167351</x:v>
      </x:c>
      <x:c r="I37" s="13" t="n">
        <x:v>1454668</x:v>
      </x:c>
      <x:c r="J37" s="12" t="str">
        <x:v>KS-INJECTION-1000-P-202405-1-INV</x:v>
      </x:c>
      <x:c r="K37" s="12" t="str">
        <x:v>KS-INJECTION-1000-P-202405-1-GRN</x:v>
      </x:c>
      <x:c r="L37" s="12" t="str">
        <x:v>SYNTHETIC</x:v>
      </x:c>
    </x:row>
    <x:row r="38" ht="38" customHeight="1">
      <x:c r="A38" s="12" t="str">
        <x:v>KS-INJECTION-1000-P-202405-2</x:v>
      </x:c>
      <x:c r="B38" s="14" t="n">
        <x:v>45420</x:v>
      </x:c>
      <x:c r="C38" s="12" t="str">
        <x:v>模拟原料商2</x:v>
      </x:c>
      <x:c r="D38" s="12" t="str">
        <x:v>PP粒子</x:v>
      </x:c>
      <x:c r="E38" s="13" t="n">
        <x:v>107276.375</x:v>
      </x:c>
      <x:c r="F38" s="13" t="n">
        <x:v>8</x:v>
      </x:c>
      <x:c r="G38" s="13" t="n">
        <x:v>858211</x:v>
      </x:c>
      <x:c r="H38" s="13" t="n">
        <x:v>111568</x:v>
      </x:c>
      <x:c r="I38" s="13" t="n">
        <x:v>969779</x:v>
      </x:c>
      <x:c r="J38" s="12" t="str">
        <x:v>KS-INJECTION-1000-P-202405-2-INV</x:v>
      </x:c>
      <x:c r="K38" s="12" t="str">
        <x:v>KS-INJECTION-1000-P-202405-2-GRN</x:v>
      </x:c>
      <x:c r="L38" s="12" t="str">
        <x:v>SYNTHETIC</x:v>
      </x:c>
    </x:row>
    <x:row r="39" ht="38" customHeight="1">
      <x:c r="A39" s="12" t="str">
        <x:v>KS-INJECTION-1000-P-202406-1</x:v>
      </x:c>
      <x:c r="B39" s="14" t="n">
        <x:v>45451</x:v>
      </x:c>
      <x:c r="C39" s="12" t="str">
        <x:v>模拟原料商1</x:v>
      </x:c>
      <x:c r="D39" s="12" t="str">
        <x:v>PP粒子</x:v>
      </x:c>
      <x:c r="E39" s="13" t="n">
        <x:v>153600.25</x:v>
      </x:c>
      <x:c r="F39" s="13" t="n">
        <x:v>8</x:v>
      </x:c>
      <x:c r="G39" s="13" t="n">
        <x:v>1228802</x:v>
      </x:c>
      <x:c r="H39" s="13" t="n">
        <x:v>159745</x:v>
      </x:c>
      <x:c r="I39" s="13" t="n">
        <x:v>1388547</x:v>
      </x:c>
      <x:c r="J39" s="12" t="str">
        <x:v>KS-INJECTION-1000-P-202406-1-INV</x:v>
      </x:c>
      <x:c r="K39" s="12" t="str">
        <x:v>KS-INJECTION-1000-P-202406-1-GRN</x:v>
      </x:c>
      <x:c r="L39" s="12" t="str">
        <x:v>SYNTHETIC</x:v>
      </x:c>
    </x:row>
    <x:row r="40" ht="38" customHeight="1">
      <x:c r="A40" s="12" t="str">
        <x:v>KS-INJECTION-1000-P-202406-2</x:v>
      </x:c>
      <x:c r="B40" s="14" t="n">
        <x:v>45451</x:v>
      </x:c>
      <x:c r="C40" s="12" t="str">
        <x:v>模拟原料商2</x:v>
      </x:c>
      <x:c r="D40" s="12" t="str">
        <x:v>PP粒子</x:v>
      </x:c>
      <x:c r="E40" s="13" t="n">
        <x:v>102400.25</x:v>
      </x:c>
      <x:c r="F40" s="13" t="n">
        <x:v>8</x:v>
      </x:c>
      <x:c r="G40" s="13" t="n">
        <x:v>819202</x:v>
      </x:c>
      <x:c r="H40" s="13" t="n">
        <x:v>106496</x:v>
      </x:c>
      <x:c r="I40" s="13" t="n">
        <x:v>925698</x:v>
      </x:c>
      <x:c r="J40" s="12" t="str">
        <x:v>KS-INJECTION-1000-P-202406-2-INV</x:v>
      </x:c>
      <x:c r="K40" s="12" t="str">
        <x:v>KS-INJECTION-1000-P-202406-2-GRN</x:v>
      </x:c>
      <x:c r="L40" s="12" t="str">
        <x:v>SYNTHETIC</x:v>
      </x:c>
    </x:row>
    <x:row r="41" ht="38" customHeight="1">
      <x:c r="A41" s="12" t="str">
        <x:v>KS-INJECTION-1000-P-202407-1</x:v>
      </x:c>
      <x:c r="B41" s="14" t="n">
        <x:v>45481</x:v>
      </x:c>
      <x:c r="C41" s="12" t="str">
        <x:v>模拟原料商1</x:v>
      </x:c>
      <x:c r="D41" s="12" t="str">
        <x:v>PP粒子</x:v>
      </x:c>
      <x:c r="E41" s="13" t="n">
        <x:v>157988.875</x:v>
      </x:c>
      <x:c r="F41" s="13" t="n">
        <x:v>8</x:v>
      </x:c>
      <x:c r="G41" s="13" t="n">
        <x:v>1263911</x:v>
      </x:c>
      <x:c r="H41" s="13" t="n">
        <x:v>164308</x:v>
      </x:c>
      <x:c r="I41" s="13" t="n">
        <x:v>1428219</x:v>
      </x:c>
      <x:c r="J41" s="12" t="str">
        <x:v>KS-INJECTION-1000-P-202407-1-INV</x:v>
      </x:c>
      <x:c r="K41" s="12" t="str">
        <x:v>KS-INJECTION-1000-P-202407-1-GRN</x:v>
      </x:c>
      <x:c r="L41" s="12" t="str">
        <x:v>SYNTHETIC</x:v>
      </x:c>
    </x:row>
    <x:row r="42" ht="38" customHeight="1">
      <x:c r="A42" s="12" t="str">
        <x:v>KS-INJECTION-1000-P-202407-2</x:v>
      </x:c>
      <x:c r="B42" s="14" t="n">
        <x:v>45481</x:v>
      </x:c>
      <x:c r="C42" s="12" t="str">
        <x:v>模拟原料商2</x:v>
      </x:c>
      <x:c r="D42" s="12" t="str">
        <x:v>PP粒子</x:v>
      </x:c>
      <x:c r="E42" s="13" t="n">
        <x:v>105325.875</x:v>
      </x:c>
      <x:c r="F42" s="13" t="n">
        <x:v>8</x:v>
      </x:c>
      <x:c r="G42" s="13" t="n">
        <x:v>842607</x:v>
      </x:c>
      <x:c r="H42" s="13" t="n">
        <x:v>109539</x:v>
      </x:c>
      <x:c r="I42" s="13" t="n">
        <x:v>952146</x:v>
      </x:c>
      <x:c r="J42" s="12" t="str">
        <x:v>KS-INJECTION-1000-P-202407-2-INV</x:v>
      </x:c>
      <x:c r="K42" s="12" t="str">
        <x:v>KS-INJECTION-1000-P-202407-2-GRN</x:v>
      </x:c>
      <x:c r="L42" s="12" t="str">
        <x:v>SYNTHETIC</x:v>
      </x:c>
    </x:row>
    <x:row r="43" ht="38" customHeight="1">
      <x:c r="A43" s="12" t="str">
        <x:v>KS-INJECTION-1000-P-202408-1</x:v>
      </x:c>
      <x:c r="B43" s="14" t="n">
        <x:v>45512</x:v>
      </x:c>
      <x:c r="C43" s="12" t="str">
        <x:v>模拟原料商1</x:v>
      </x:c>
      <x:c r="D43" s="12" t="str">
        <x:v>PP粒子</x:v>
      </x:c>
      <x:c r="E43" s="13" t="n">
        <x:v>157988.875</x:v>
      </x:c>
      <x:c r="F43" s="13" t="n">
        <x:v>8</x:v>
      </x:c>
      <x:c r="G43" s="13" t="n">
        <x:v>1263911</x:v>
      </x:c>
      <x:c r="H43" s="13" t="n">
        <x:v>164308</x:v>
      </x:c>
      <x:c r="I43" s="13" t="n">
        <x:v>1428219</x:v>
      </x:c>
      <x:c r="J43" s="12" t="str">
        <x:v>KS-INJECTION-1000-P-202408-1-INV</x:v>
      </x:c>
      <x:c r="K43" s="12" t="str">
        <x:v>KS-INJECTION-1000-P-202408-1-GRN</x:v>
      </x:c>
      <x:c r="L43" s="12" t="str">
        <x:v>SYNTHETIC</x:v>
      </x:c>
    </x:row>
    <x:row r="44" ht="38" customHeight="1">
      <x:c r="A44" s="12" t="str">
        <x:v>KS-INJECTION-1000-P-202408-2</x:v>
      </x:c>
      <x:c r="B44" s="14" t="n">
        <x:v>45512</x:v>
      </x:c>
      <x:c r="C44" s="12" t="str">
        <x:v>模拟原料商2</x:v>
      </x:c>
      <x:c r="D44" s="12" t="str">
        <x:v>PP粒子</x:v>
      </x:c>
      <x:c r="E44" s="13" t="n">
        <x:v>105325.875</x:v>
      </x:c>
      <x:c r="F44" s="13" t="n">
        <x:v>8</x:v>
      </x:c>
      <x:c r="G44" s="13" t="n">
        <x:v>842607</x:v>
      </x:c>
      <x:c r="H44" s="13" t="n">
        <x:v>109539</x:v>
      </x:c>
      <x:c r="I44" s="13" t="n">
        <x:v>952146</x:v>
      </x:c>
      <x:c r="J44" s="12" t="str">
        <x:v>KS-INJECTION-1000-P-202408-2-INV</x:v>
      </x:c>
      <x:c r="K44" s="12" t="str">
        <x:v>KS-INJECTION-1000-P-202408-2-GRN</x:v>
      </x:c>
      <x:c r="L44" s="12" t="str">
        <x:v>SYNTHETIC</x:v>
      </x:c>
    </x:row>
    <x:row r="45" ht="38" customHeight="1">
      <x:c r="A45" s="12" t="str">
        <x:v>KS-INJECTION-1000-P-202409-1</x:v>
      </x:c>
      <x:c r="B45" s="14" t="n">
        <x:v>45543</x:v>
      </x:c>
      <x:c r="C45" s="12" t="str">
        <x:v>模拟原料商1</x:v>
      </x:c>
      <x:c r="D45" s="12" t="str">
        <x:v>PP粒子</x:v>
      </x:c>
      <x:c r="E45" s="13" t="n">
        <x:v>152137.375</x:v>
      </x:c>
      <x:c r="F45" s="13" t="n">
        <x:v>8</x:v>
      </x:c>
      <x:c r="G45" s="13" t="n">
        <x:v>1217099</x:v>
      </x:c>
      <x:c r="H45" s="13" t="n">
        <x:v>158223</x:v>
      </x:c>
      <x:c r="I45" s="13" t="n">
        <x:v>1375322</x:v>
      </x:c>
      <x:c r="J45" s="12" t="str">
        <x:v>KS-INJECTION-1000-P-202409-1-INV</x:v>
      </x:c>
      <x:c r="K45" s="12" t="str">
        <x:v>KS-INJECTION-1000-P-202409-1-GRN</x:v>
      </x:c>
      <x:c r="L45" s="12" t="str">
        <x:v>SYNTHETIC</x:v>
      </x:c>
    </x:row>
    <x:row r="46" ht="38" customHeight="1">
      <x:c r="A46" s="12" t="str">
        <x:v>KS-INJECTION-1000-P-202409-2</x:v>
      </x:c>
      <x:c r="B46" s="14" t="n">
        <x:v>45543</x:v>
      </x:c>
      <x:c r="C46" s="12" t="str">
        <x:v>模拟原料商2</x:v>
      </x:c>
      <x:c r="D46" s="12" t="str">
        <x:v>PP粒子</x:v>
      </x:c>
      <x:c r="E46" s="13" t="n">
        <x:v>101425</x:v>
      </x:c>
      <x:c r="F46" s="13" t="n">
        <x:v>8</x:v>
      </x:c>
      <x:c r="G46" s="13" t="n">
        <x:v>811400</x:v>
      </x:c>
      <x:c r="H46" s="13" t="n">
        <x:v>105482</x:v>
      </x:c>
      <x:c r="I46" s="13" t="n">
        <x:v>916882</x:v>
      </x:c>
      <x:c r="J46" s="12" t="str">
        <x:v>KS-INJECTION-1000-P-202409-2-INV</x:v>
      </x:c>
      <x:c r="K46" s="12" t="str">
        <x:v>KS-INJECTION-1000-P-202409-2-GRN</x:v>
      </x:c>
      <x:c r="L46" s="12" t="str">
        <x:v>SYNTHETIC</x:v>
      </x:c>
    </x:row>
    <x:row r="47" ht="38" customHeight="1">
      <x:c r="A47" s="12" t="str">
        <x:v>KS-INJECTION-1000-P-202410-1</x:v>
      </x:c>
      <x:c r="B47" s="14" t="n">
        <x:v>45573</x:v>
      </x:c>
      <x:c r="C47" s="12" t="str">
        <x:v>模拟原料商1</x:v>
      </x:c>
      <x:c r="D47" s="12" t="str">
        <x:v>PP粒子</x:v>
      </x:c>
      <x:c r="E47" s="13" t="n">
        <x:v>149211.75</x:v>
      </x:c>
      <x:c r="F47" s="13" t="n">
        <x:v>8</x:v>
      </x:c>
      <x:c r="G47" s="13" t="n">
        <x:v>1193694</x:v>
      </x:c>
      <x:c r="H47" s="13" t="n">
        <x:v>155180</x:v>
      </x:c>
      <x:c r="I47" s="13" t="n">
        <x:v>1348874</x:v>
      </x:c>
      <x:c r="J47" s="12" t="str">
        <x:v>KS-INJECTION-1000-P-202410-1-INV</x:v>
      </x:c>
      <x:c r="K47" s="12" t="str">
        <x:v>KS-INJECTION-1000-P-202410-1-GRN</x:v>
      </x:c>
      <x:c r="L47" s="12" t="str">
        <x:v>SYNTHETIC</x:v>
      </x:c>
    </x:row>
    <x:row r="48" ht="38" customHeight="1">
      <x:c r="A48" s="12" t="str">
        <x:v>KS-INJECTION-1000-P-202410-2</x:v>
      </x:c>
      <x:c r="B48" s="14" t="n">
        <x:v>45573</x:v>
      </x:c>
      <x:c r="C48" s="12" t="str">
        <x:v>模拟原料商2</x:v>
      </x:c>
      <x:c r="D48" s="12" t="str">
        <x:v>PP粒子</x:v>
      </x:c>
      <x:c r="E48" s="13" t="n">
        <x:v>99474.5</x:v>
      </x:c>
      <x:c r="F48" s="13" t="n">
        <x:v>8</x:v>
      </x:c>
      <x:c r="G48" s="13" t="n">
        <x:v>795796</x:v>
      </x:c>
      <x:c r="H48" s="13" t="n">
        <x:v>103454</x:v>
      </x:c>
      <x:c r="I48" s="13" t="n">
        <x:v>899250</x:v>
      </x:c>
      <x:c r="J48" s="12" t="str">
        <x:v>KS-INJECTION-1000-P-202410-2-INV</x:v>
      </x:c>
      <x:c r="K48" s="12" t="str">
        <x:v>KS-INJECTION-1000-P-202410-2-GRN</x:v>
      </x:c>
      <x:c r="L48" s="12" t="str">
        <x:v>SYNTHETIC</x:v>
      </x:c>
    </x:row>
    <x:row r="49" ht="38" customHeight="1">
      <x:c r="A49" s="12" t="str">
        <x:v>KS-INJECTION-1000-P-202411-1</x:v>
      </x:c>
      <x:c r="B49" s="14" t="n">
        <x:v>45604</x:v>
      </x:c>
      <x:c r="C49" s="12" t="str">
        <x:v>模拟原料商1</x:v>
      </x:c>
      <x:c r="D49" s="12" t="str">
        <x:v>PP粒子</x:v>
      </x:c>
      <x:c r="E49" s="13" t="n">
        <x:v>155063.125</x:v>
      </x:c>
      <x:c r="F49" s="13" t="n">
        <x:v>8</x:v>
      </x:c>
      <x:c r="G49" s="13" t="n">
        <x:v>1240505</x:v>
      </x:c>
      <x:c r="H49" s="13" t="n">
        <x:v>161266</x:v>
      </x:c>
      <x:c r="I49" s="13" t="n">
        <x:v>1401771</x:v>
      </x:c>
      <x:c r="J49" s="12" t="str">
        <x:v>KS-INJECTION-1000-P-202411-1-INV</x:v>
      </x:c>
      <x:c r="K49" s="12" t="str">
        <x:v>KS-INJECTION-1000-P-202411-1-GRN</x:v>
      </x:c>
      <x:c r="L49" s="12" t="str">
        <x:v>SYNTHETIC</x:v>
      </x:c>
    </x:row>
    <x:row r="50" ht="38" customHeight="1">
      <x:c r="A50" s="12" t="str">
        <x:v>KS-INJECTION-1000-P-202411-2</x:v>
      </x:c>
      <x:c r="B50" s="14" t="n">
        <x:v>45604</x:v>
      </x:c>
      <x:c r="C50" s="12" t="str">
        <x:v>模拟原料商2</x:v>
      </x:c>
      <x:c r="D50" s="12" t="str">
        <x:v>PP粒子</x:v>
      </x:c>
      <x:c r="E50" s="13" t="n">
        <x:v>103375.5</x:v>
      </x:c>
      <x:c r="F50" s="13" t="n">
        <x:v>8</x:v>
      </x:c>
      <x:c r="G50" s="13" t="n">
        <x:v>827004</x:v>
      </x:c>
      <x:c r="H50" s="13" t="n">
        <x:v>107510</x:v>
      </x:c>
      <x:c r="I50" s="13" t="n">
        <x:v>934514</x:v>
      </x:c>
      <x:c r="J50" s="12" t="str">
        <x:v>KS-INJECTION-1000-P-202411-2-INV</x:v>
      </x:c>
      <x:c r="K50" s="12" t="str">
        <x:v>KS-INJECTION-1000-P-202411-2-GRN</x:v>
      </x:c>
      <x:c r="L50" s="12" t="str">
        <x:v>SYNTHETIC</x:v>
      </x:c>
    </x:row>
    <x:row r="51" ht="38" customHeight="1">
      <x:c r="A51" s="12" t="str">
        <x:v>KS-INJECTION-1000-P-202412-1</x:v>
      </x:c>
      <x:c r="B51" s="14" t="n">
        <x:v>45634</x:v>
      </x:c>
      <x:c r="C51" s="12" t="str">
        <x:v>模拟原料商1</x:v>
      </x:c>
      <x:c r="D51" s="12" t="str">
        <x:v>PP粒子</x:v>
      </x:c>
      <x:c r="E51" s="13" t="n">
        <x:v>160914.625</x:v>
      </x:c>
      <x:c r="F51" s="13" t="n">
        <x:v>8</x:v>
      </x:c>
      <x:c r="G51" s="13" t="n">
        <x:v>1287317</x:v>
      </x:c>
      <x:c r="H51" s="13" t="n">
        <x:v>167351</x:v>
      </x:c>
      <x:c r="I51" s="13" t="n">
        <x:v>1454668</x:v>
      </x:c>
      <x:c r="J51" s="12" t="str">
        <x:v>KS-INJECTION-1000-P-202412-1-INV</x:v>
      </x:c>
      <x:c r="K51" s="12" t="str">
        <x:v>KS-INJECTION-1000-P-202412-1-GRN</x:v>
      </x:c>
      <x:c r="L51" s="12" t="str">
        <x:v>SYNTHETIC</x:v>
      </x:c>
    </x:row>
    <x:row r="52" ht="38" customHeight="1">
      <x:c r="A52" s="12" t="str">
        <x:v>KS-INJECTION-1000-P-202412-2</x:v>
      </x:c>
      <x:c r="B52" s="14" t="n">
        <x:v>45634</x:v>
      </x:c>
      <x:c r="C52" s="12" t="str">
        <x:v>模拟原料商2</x:v>
      </x:c>
      <x:c r="D52" s="12" t="str">
        <x:v>PP粒子</x:v>
      </x:c>
      <x:c r="E52" s="13" t="n">
        <x:v>107276.375</x:v>
      </x:c>
      <x:c r="F52" s="13" t="n">
        <x:v>8</x:v>
      </x:c>
      <x:c r="G52" s="13" t="n">
        <x:v>858211</x:v>
      </x:c>
      <x:c r="H52" s="13" t="n">
        <x:v>111568</x:v>
      </x:c>
      <x:c r="I52" s="13" t="n">
        <x:v>969779</x:v>
      </x:c>
      <x:c r="J52" s="12" t="str">
        <x:v>KS-INJECTION-1000-P-202412-2-INV</x:v>
      </x:c>
      <x:c r="K52" s="12" t="str">
        <x:v>KS-INJECTION-1000-P-202412-2-GRN</x:v>
      </x:c>
      <x:c r="L52" s="12" t="str">
        <x:v>SYNTHETIC</x:v>
      </x:c>
    </x:row>
    <x:row r="53" ht="38" customHeight="1">
      <x:c r="A53" s="12" t="str">
        <x:v>KS-INJECTION-1000-P-202501-1</x:v>
      </x:c>
      <x:c r="B53" s="14" t="n">
        <x:v>45665</x:v>
      </x:c>
      <x:c r="C53" s="12" t="str">
        <x:v>模拟原料商1</x:v>
      </x:c>
      <x:c r="D53" s="12" t="str">
        <x:v>PP粒子</x:v>
      </x:c>
      <x:c r="E53" s="13" t="n">
        <x:v>126391.125</x:v>
      </x:c>
      <x:c r="F53" s="13" t="n">
        <x:v>8</x:v>
      </x:c>
      <x:c r="G53" s="13" t="n">
        <x:v>1011129</x:v>
      </x:c>
      <x:c r="H53" s="13" t="n">
        <x:v>131447</x:v>
      </x:c>
      <x:c r="I53" s="13" t="n">
        <x:v>1142576</x:v>
      </x:c>
      <x:c r="J53" s="12" t="str">
        <x:v>KS-INJECTION-1000-P-202501-1-INV</x:v>
      </x:c>
      <x:c r="K53" s="12" t="str">
        <x:v>KS-INJECTION-1000-P-202501-1-GRN</x:v>
      </x:c>
      <x:c r="L53" s="12" t="str">
        <x:v>SYNTHETIC</x:v>
      </x:c>
    </x:row>
    <x:row r="54" ht="38" customHeight="1">
      <x:c r="A54" s="12" t="str">
        <x:v>KS-INJECTION-1000-P-202501-2</x:v>
      </x:c>
      <x:c r="B54" s="14" t="n">
        <x:v>45665</x:v>
      </x:c>
      <x:c r="C54" s="12" t="str">
        <x:v>模拟原料商2</x:v>
      </x:c>
      <x:c r="D54" s="12" t="str">
        <x:v>PP粒子</x:v>
      </x:c>
      <x:c r="E54" s="13" t="n">
        <x:v>84260.75</x:v>
      </x:c>
      <x:c r="F54" s="13" t="n">
        <x:v>8</x:v>
      </x:c>
      <x:c r="G54" s="13" t="n">
        <x:v>674086</x:v>
      </x:c>
      <x:c r="H54" s="13" t="n">
        <x:v>87631</x:v>
      </x:c>
      <x:c r="I54" s="13" t="n">
        <x:v>761717</x:v>
      </x:c>
      <x:c r="J54" s="12" t="str">
        <x:v>KS-INJECTION-1000-P-202501-2-INV</x:v>
      </x:c>
      <x:c r="K54" s="12" t="str">
        <x:v>KS-INJECTION-1000-P-202501-2-GRN</x:v>
      </x:c>
      <x:c r="L54" s="12" t="str">
        <x:v>SYNTHETIC</x:v>
      </x:c>
    </x:row>
    <x:row r="55" ht="38" customHeight="1">
      <x:c r="A55" s="12" t="str">
        <x:v>KS-INJECTION-1000-P-202502-1</x:v>
      </x:c>
      <x:c r="B55" s="14" t="n">
        <x:v>45696</x:v>
      </x:c>
      <x:c r="C55" s="12" t="str">
        <x:v>模拟原料商1</x:v>
      </x:c>
      <x:c r="D55" s="12" t="str">
        <x:v>PP粒子</x:v>
      </x:c>
      <x:c r="E55" s="13" t="n">
        <x:v>113752</x:v>
      </x:c>
      <x:c r="F55" s="13" t="n">
        <x:v>8</x:v>
      </x:c>
      <x:c r="G55" s="13" t="n">
        <x:v>910016</x:v>
      </x:c>
      <x:c r="H55" s="13" t="n">
        <x:v>118302</x:v>
      </x:c>
      <x:c r="I55" s="13" t="n">
        <x:v>1028318</x:v>
      </x:c>
      <x:c r="J55" s="12" t="str">
        <x:v>KS-INJECTION-1000-P-202502-1-INV</x:v>
      </x:c>
      <x:c r="K55" s="12" t="str">
        <x:v>KS-INJECTION-1000-P-202502-1-GRN</x:v>
      </x:c>
      <x:c r="L55" s="12" t="str">
        <x:v>SYNTHETIC</x:v>
      </x:c>
    </x:row>
    <x:row r="56" ht="38" customHeight="1">
      <x:c r="A56" s="12" t="str">
        <x:v>KS-INJECTION-1000-P-202502-2</x:v>
      </x:c>
      <x:c r="B56" s="14" t="n">
        <x:v>45696</x:v>
      </x:c>
      <x:c r="C56" s="12" t="str">
        <x:v>模拟原料商2</x:v>
      </x:c>
      <x:c r="D56" s="12" t="str">
        <x:v>PP粒子</x:v>
      </x:c>
      <x:c r="E56" s="13" t="n">
        <x:v>75834.75</x:v>
      </x:c>
      <x:c r="F56" s="13" t="n">
        <x:v>8</x:v>
      </x:c>
      <x:c r="G56" s="13" t="n">
        <x:v>606678</x:v>
      </x:c>
      <x:c r="H56" s="13" t="n">
        <x:v>78868</x:v>
      </x:c>
      <x:c r="I56" s="13" t="n">
        <x:v>685546</x:v>
      </x:c>
      <x:c r="J56" s="12" t="str">
        <x:v>KS-INJECTION-1000-P-202502-2-INV</x:v>
      </x:c>
      <x:c r="K56" s="12" t="str">
        <x:v>KS-INJECTION-1000-P-202502-2-GRN</x:v>
      </x:c>
      <x:c r="L56" s="12" t="str">
        <x:v>SYNTHETIC</x:v>
      </x:c>
    </x:row>
    <x:row r="57" ht="38" customHeight="1">
      <x:c r="A57" s="12" t="str">
        <x:v>KS-INJECTION-1000-P-202503-1</x:v>
      </x:c>
      <x:c r="B57" s="14" t="n">
        <x:v>45724</x:v>
      </x:c>
      <x:c r="C57" s="12" t="str">
        <x:v>模拟原料商1</x:v>
      </x:c>
      <x:c r="D57" s="12" t="str">
        <x:v>PP粒子</x:v>
      </x:c>
      <x:c r="E57" s="13" t="n">
        <x:v>161148.75</x:v>
      </x:c>
      <x:c r="F57" s="13" t="n">
        <x:v>8</x:v>
      </x:c>
      <x:c r="G57" s="13" t="n">
        <x:v>1289190</x:v>
      </x:c>
      <x:c r="H57" s="13" t="n">
        <x:v>167594</x:v>
      </x:c>
      <x:c r="I57" s="13" t="n">
        <x:v>1456784</x:v>
      </x:c>
      <x:c r="J57" s="12" t="str">
        <x:v>KS-INJECTION-1000-P-202503-1-INV</x:v>
      </x:c>
      <x:c r="K57" s="12" t="str">
        <x:v>KS-INJECTION-1000-P-202503-1-GRN</x:v>
      </x:c>
      <x:c r="L57" s="12" t="str">
        <x:v>SYNTHETIC</x:v>
      </x:c>
    </x:row>
    <x:row r="58" ht="38" customHeight="1">
      <x:c r="A58" s="12" t="str">
        <x:v>KS-INJECTION-1000-P-202503-2</x:v>
      </x:c>
      <x:c r="B58" s="14" t="n">
        <x:v>45724</x:v>
      </x:c>
      <x:c r="C58" s="12" t="str">
        <x:v>模拟原料商2</x:v>
      </x:c>
      <x:c r="D58" s="12" t="str">
        <x:v>PP粒子</x:v>
      </x:c>
      <x:c r="E58" s="13" t="n">
        <x:v>107432.5</x:v>
      </x:c>
      <x:c r="F58" s="13" t="n">
        <x:v>8</x:v>
      </x:c>
      <x:c r="G58" s="13" t="n">
        <x:v>859460</x:v>
      </x:c>
      <x:c r="H58" s="13" t="n">
        <x:v>111730</x:v>
      </x:c>
      <x:c r="I58" s="13" t="n">
        <x:v>971190</x:v>
      </x:c>
      <x:c r="J58" s="12" t="str">
        <x:v>KS-INJECTION-1000-P-202503-2-INV</x:v>
      </x:c>
      <x:c r="K58" s="12" t="str">
        <x:v>KS-INJECTION-1000-P-202503-2-GRN</x:v>
      </x:c>
      <x:c r="L58" s="12" t="str">
        <x:v>SYNTHETIC</x:v>
      </x:c>
    </x:row>
    <x:row r="59" ht="38" customHeight="1">
      <x:c r="A59" s="12" t="str">
        <x:v>KS-INJECTION-1000-P-202504-1</x:v>
      </x:c>
      <x:c r="B59" s="14" t="n">
        <x:v>45755</x:v>
      </x:c>
      <x:c r="C59" s="12" t="str">
        <x:v>模拟原料商1</x:v>
      </x:c>
      <x:c r="D59" s="12" t="str">
        <x:v>PP粒子</x:v>
      </x:c>
      <x:c r="E59" s="13" t="n">
        <x:v>167468</x:v>
      </x:c>
      <x:c r="F59" s="13" t="n">
        <x:v>8</x:v>
      </x:c>
      <x:c r="G59" s="13" t="n">
        <x:v>1339744</x:v>
      </x:c>
      <x:c r="H59" s="13" t="n">
        <x:v>174167</x:v>
      </x:c>
      <x:c r="I59" s="13" t="n">
        <x:v>1513911</x:v>
      </x:c>
      <x:c r="J59" s="12" t="str">
        <x:v>KS-INJECTION-1000-P-202504-1-INV</x:v>
      </x:c>
      <x:c r="K59" s="12" t="str">
        <x:v>KS-INJECTION-1000-P-202504-1-GRN</x:v>
      </x:c>
      <x:c r="L59" s="12" t="str">
        <x:v>SYNTHETIC</x:v>
      </x:c>
    </x:row>
    <x:row r="60" ht="38" customHeight="1">
      <x:c r="A60" s="12" t="str">
        <x:v>KS-INJECTION-1000-P-202504-2</x:v>
      </x:c>
      <x:c r="B60" s="14" t="n">
        <x:v>45755</x:v>
      </x:c>
      <x:c r="C60" s="12" t="str">
        <x:v>模拟原料商2</x:v>
      </x:c>
      <x:c r="D60" s="12" t="str">
        <x:v>PP粒子</x:v>
      </x:c>
      <x:c r="E60" s="13" t="n">
        <x:v>111645.375</x:v>
      </x:c>
      <x:c r="F60" s="13" t="n">
        <x:v>8</x:v>
      </x:c>
      <x:c r="G60" s="13" t="n">
        <x:v>893163</x:v>
      </x:c>
      <x:c r="H60" s="13" t="n">
        <x:v>116111</x:v>
      </x:c>
      <x:c r="I60" s="13" t="n">
        <x:v>1009274</x:v>
      </x:c>
      <x:c r="J60" s="12" t="str">
        <x:v>KS-INJECTION-1000-P-202504-2-INV</x:v>
      </x:c>
      <x:c r="K60" s="12" t="str">
        <x:v>KS-INJECTION-1000-P-202504-2-GRN</x:v>
      </x:c>
      <x:c r="L60" s="12" t="str">
        <x:v>SYNTHETIC</x:v>
      </x:c>
    </x:row>
    <x:row r="61" ht="38" customHeight="1">
      <x:c r="A61" s="12" t="str">
        <x:v>KS-INJECTION-1000-P-202505-1</x:v>
      </x:c>
      <x:c r="B61" s="14" t="n">
        <x:v>45785</x:v>
      </x:c>
      <x:c r="C61" s="12" t="str">
        <x:v>模拟原料商1</x:v>
      </x:c>
      <x:c r="D61" s="12" t="str">
        <x:v>PP粒子</x:v>
      </x:c>
      <x:c r="E61" s="13" t="n">
        <x:v>173787.75</x:v>
      </x:c>
      <x:c r="F61" s="13" t="n">
        <x:v>8</x:v>
      </x:c>
      <x:c r="G61" s="13" t="n">
        <x:v>1390302</x:v>
      </x:c>
      <x:c r="H61" s="13" t="n">
        <x:v>180739</x:v>
      </x:c>
      <x:c r="I61" s="13" t="n">
        <x:v>1571041</x:v>
      </x:c>
      <x:c r="J61" s="12" t="str">
        <x:v>KS-INJECTION-1000-P-202505-1-INV</x:v>
      </x:c>
      <x:c r="K61" s="12" t="str">
        <x:v>KS-INJECTION-1000-P-202505-1-GRN</x:v>
      </x:c>
      <x:c r="L61" s="12" t="str">
        <x:v>SYNTHETIC</x:v>
      </x:c>
    </x:row>
    <x:row r="62" ht="38" customHeight="1">
      <x:c r="A62" s="12" t="str">
        <x:v>KS-INJECTION-1000-P-202505-2</x:v>
      </x:c>
      <x:c r="B62" s="14" t="n">
        <x:v>45785</x:v>
      </x:c>
      <x:c r="C62" s="12" t="str">
        <x:v>模拟原料商2</x:v>
      </x:c>
      <x:c r="D62" s="12" t="str">
        <x:v>PP粒子</x:v>
      </x:c>
      <x:c r="E62" s="13" t="n">
        <x:v>115858.5</x:v>
      </x:c>
      <x:c r="F62" s="13" t="n">
        <x:v>8</x:v>
      </x:c>
      <x:c r="G62" s="13" t="n">
        <x:v>926868</x:v>
      </x:c>
      <x:c r="H62" s="13" t="n">
        <x:v>120493</x:v>
      </x:c>
      <x:c r="I62" s="13" t="n">
        <x:v>1047361</x:v>
      </x:c>
      <x:c r="J62" s="12" t="str">
        <x:v>KS-INJECTION-1000-P-202505-2-INV</x:v>
      </x:c>
      <x:c r="K62" s="12" t="str">
        <x:v>KS-INJECTION-1000-P-202505-2-GRN</x:v>
      </x:c>
      <x:c r="L62" s="12" t="str">
        <x:v>SYNTHETIC</x:v>
      </x:c>
    </x:row>
    <x:row r="63" ht="38" customHeight="1">
      <x:c r="A63" s="12" t="str">
        <x:v>KS-INJECTION-1000-P-202506-1</x:v>
      </x:c>
      <x:c r="B63" s="14" t="n">
        <x:v>45816</x:v>
      </x:c>
      <x:c r="C63" s="12" t="str">
        <x:v>模拟原料商1</x:v>
      </x:c>
      <x:c r="D63" s="12" t="str">
        <x:v>PP粒子</x:v>
      </x:c>
      <x:c r="E63" s="13" t="n">
        <x:v>165888.25</x:v>
      </x:c>
      <x:c r="F63" s="13" t="n">
        <x:v>8</x:v>
      </x:c>
      <x:c r="G63" s="13" t="n">
        <x:v>1327106</x:v>
      </x:c>
      <x:c r="H63" s="13" t="n">
        <x:v>172524</x:v>
      </x:c>
      <x:c r="I63" s="13" t="n">
        <x:v>1499630</x:v>
      </x:c>
      <x:c r="J63" s="12" t="str">
        <x:v>KS-INJECTION-1000-P-202506-1-INV</x:v>
      </x:c>
      <x:c r="K63" s="12" t="str">
        <x:v>KS-INJECTION-1000-P-202506-1-GRN</x:v>
      </x:c>
      <x:c r="L63" s="12" t="str">
        <x:v>SYNTHETIC</x:v>
      </x:c>
    </x:row>
    <x:row r="64" ht="38" customHeight="1">
      <x:c r="A64" s="12" t="str">
        <x:v>KS-INJECTION-1000-P-202506-2</x:v>
      </x:c>
      <x:c r="B64" s="14" t="n">
        <x:v>45816</x:v>
      </x:c>
      <x:c r="C64" s="12" t="str">
        <x:v>模拟原料商2</x:v>
      </x:c>
      <x:c r="D64" s="12" t="str">
        <x:v>PP粒子</x:v>
      </x:c>
      <x:c r="E64" s="13" t="n">
        <x:v>110592.25</x:v>
      </x:c>
      <x:c r="F64" s="13" t="n">
        <x:v>8</x:v>
      </x:c>
      <x:c r="G64" s="13" t="n">
        <x:v>884738</x:v>
      </x:c>
      <x:c r="H64" s="13" t="n">
        <x:v>115016</x:v>
      </x:c>
      <x:c r="I64" s="13" t="n">
        <x:v>999754</x:v>
      </x:c>
      <x:c r="J64" s="12" t="str">
        <x:v>KS-INJECTION-1000-P-202506-2-INV</x:v>
      </x:c>
      <x:c r="K64" s="12" t="str">
        <x:v>KS-INJECTION-1000-P-202506-2-GRN</x:v>
      </x:c>
      <x:c r="L64" s="12" t="str">
        <x:v>SYNTHETIC</x:v>
      </x:c>
    </x:row>
    <x:row r="65" ht="38" customHeight="1">
      <x:c r="A65" s="12" t="str">
        <x:v>KS-INJECTION-1000-P-202507-1</x:v>
      </x:c>
      <x:c r="B65" s="14" t="n">
        <x:v>45846</x:v>
      </x:c>
      <x:c r="C65" s="12" t="str">
        <x:v>模拟原料商1</x:v>
      </x:c>
      <x:c r="D65" s="12" t="str">
        <x:v>PP粒子</x:v>
      </x:c>
      <x:c r="E65" s="13" t="n">
        <x:v>170627.875</x:v>
      </x:c>
      <x:c r="F65" s="13" t="n">
        <x:v>8</x:v>
      </x:c>
      <x:c r="G65" s="13" t="n">
        <x:v>1365023</x:v>
      </x:c>
      <x:c r="H65" s="13" t="n">
        <x:v>177453</x:v>
      </x:c>
      <x:c r="I65" s="13" t="n">
        <x:v>1542476</x:v>
      </x:c>
      <x:c r="J65" s="12" t="str">
        <x:v>KS-INJECTION-1000-P-202507-1-INV</x:v>
      </x:c>
      <x:c r="K65" s="12" t="str">
        <x:v>KS-INJECTION-1000-P-202507-1-GRN</x:v>
      </x:c>
      <x:c r="L65" s="12" t="str">
        <x:v>SYNTHETIC</x:v>
      </x:c>
    </x:row>
    <x:row r="66" ht="38" customHeight="1">
      <x:c r="A66" s="12" t="str">
        <x:v>KS-INJECTION-1000-P-202507-2</x:v>
      </x:c>
      <x:c r="B66" s="14" t="n">
        <x:v>45846</x:v>
      </x:c>
      <x:c r="C66" s="12" t="str">
        <x:v>模拟原料商2</x:v>
      </x:c>
      <x:c r="D66" s="12" t="str">
        <x:v>PP粒子</x:v>
      </x:c>
      <x:c r="E66" s="13" t="n">
        <x:v>113752</x:v>
      </x:c>
      <x:c r="F66" s="13" t="n">
        <x:v>8</x:v>
      </x:c>
      <x:c r="G66" s="13" t="n">
        <x:v>910016</x:v>
      </x:c>
      <x:c r="H66" s="13" t="n">
        <x:v>118302</x:v>
      </x:c>
      <x:c r="I66" s="13" t="n">
        <x:v>1028318</x:v>
      </x:c>
      <x:c r="J66" s="12" t="str">
        <x:v>KS-INJECTION-1000-P-202507-2-INV</x:v>
      </x:c>
      <x:c r="K66" s="12" t="str">
        <x:v>KS-INJECTION-1000-P-202507-2-GRN</x:v>
      </x:c>
      <x:c r="L66" s="12" t="str">
        <x:v>SYNTHETIC</x:v>
      </x:c>
    </x:row>
    <x:row r="67" ht="38" customHeight="1">
      <x:c r="A67" s="12" t="str">
        <x:v>KS-INJECTION-1000-P-202508-1</x:v>
      </x:c>
      <x:c r="B67" s="14" t="n">
        <x:v>45877</x:v>
      </x:c>
      <x:c r="C67" s="12" t="str">
        <x:v>模拟原料商1</x:v>
      </x:c>
      <x:c r="D67" s="12" t="str">
        <x:v>PP粒子</x:v>
      </x:c>
      <x:c r="E67" s="13" t="n">
        <x:v>170627.875</x:v>
      </x:c>
      <x:c r="F67" s="13" t="n">
        <x:v>8</x:v>
      </x:c>
      <x:c r="G67" s="13" t="n">
        <x:v>1365023</x:v>
      </x:c>
      <x:c r="H67" s="13" t="n">
        <x:v>177453</x:v>
      </x:c>
      <x:c r="I67" s="13" t="n">
        <x:v>1542476</x:v>
      </x:c>
      <x:c r="J67" s="12" t="str">
        <x:v>KS-INJECTION-1000-P-202508-1-INV</x:v>
      </x:c>
      <x:c r="K67" s="12" t="str">
        <x:v>KS-INJECTION-1000-P-202508-1-GRN</x:v>
      </x:c>
      <x:c r="L67" s="12" t="str">
        <x:v>SYNTHETIC</x:v>
      </x:c>
    </x:row>
    <x:row r="68" ht="38" customHeight="1">
      <x:c r="A68" s="12" t="str">
        <x:v>KS-INJECTION-1000-P-202508-2</x:v>
      </x:c>
      <x:c r="B68" s="14" t="n">
        <x:v>45877</x:v>
      </x:c>
      <x:c r="C68" s="12" t="str">
        <x:v>模拟原料商2</x:v>
      </x:c>
      <x:c r="D68" s="12" t="str">
        <x:v>PP粒子</x:v>
      </x:c>
      <x:c r="E68" s="13" t="n">
        <x:v>113752</x:v>
      </x:c>
      <x:c r="F68" s="13" t="n">
        <x:v>8</x:v>
      </x:c>
      <x:c r="G68" s="13" t="n">
        <x:v>910016</x:v>
      </x:c>
      <x:c r="H68" s="13" t="n">
        <x:v>118302</x:v>
      </x:c>
      <x:c r="I68" s="13" t="n">
        <x:v>1028318</x:v>
      </x:c>
      <x:c r="J68" s="12" t="str">
        <x:v>KS-INJECTION-1000-P-202508-2-INV</x:v>
      </x:c>
      <x:c r="K68" s="12" t="str">
        <x:v>KS-INJECTION-1000-P-202508-2-GRN</x:v>
      </x:c>
      <x:c r="L68" s="12" t="str">
        <x:v>SYNTHETIC</x:v>
      </x:c>
    </x:row>
    <x:row r="69" ht="38" customHeight="1">
      <x:c r="A69" s="12" t="str">
        <x:v>KS-INJECTION-1000-P-202509-1</x:v>
      </x:c>
      <x:c r="B69" s="14" t="n">
        <x:v>45908</x:v>
      </x:c>
      <x:c r="C69" s="12" t="str">
        <x:v>模拟原料商1</x:v>
      </x:c>
      <x:c r="D69" s="12" t="str">
        <x:v>PP粒子</x:v>
      </x:c>
      <x:c r="E69" s="13" t="n">
        <x:v>164308.625</x:v>
      </x:c>
      <x:c r="F69" s="13" t="n">
        <x:v>8</x:v>
      </x:c>
      <x:c r="G69" s="13" t="n">
        <x:v>1314469</x:v>
      </x:c>
      <x:c r="H69" s="13" t="n">
        <x:v>170881</x:v>
      </x:c>
      <x:c r="I69" s="13" t="n">
        <x:v>1485350</x:v>
      </x:c>
      <x:c r="J69" s="12" t="str">
        <x:v>KS-INJECTION-1000-P-202509-1-INV</x:v>
      </x:c>
      <x:c r="K69" s="12" t="str">
        <x:v>KS-INJECTION-1000-P-202509-1-GRN</x:v>
      </x:c>
      <x:c r="L69" s="12" t="str">
        <x:v>SYNTHETIC</x:v>
      </x:c>
    </x:row>
    <x:row r="70" ht="38" customHeight="1">
      <x:c r="A70" s="12" t="str">
        <x:v>KS-INJECTION-1000-P-202509-2</x:v>
      </x:c>
      <x:c r="B70" s="14" t="n">
        <x:v>45908</x:v>
      </x:c>
      <x:c r="C70" s="12" t="str">
        <x:v>模拟原料商2</x:v>
      </x:c>
      <x:c r="D70" s="12" t="str">
        <x:v>PP粒子</x:v>
      </x:c>
      <x:c r="E70" s="13" t="n">
        <x:v>109539</x:v>
      </x:c>
      <x:c r="F70" s="13" t="n">
        <x:v>8</x:v>
      </x:c>
      <x:c r="G70" s="13" t="n">
        <x:v>876312</x:v>
      </x:c>
      <x:c r="H70" s="13" t="n">
        <x:v>113921</x:v>
      </x:c>
      <x:c r="I70" s="13" t="n">
        <x:v>990233</x:v>
      </x:c>
      <x:c r="J70" s="12" t="str">
        <x:v>KS-INJECTION-1000-P-202509-2-INV</x:v>
      </x:c>
      <x:c r="K70" s="12" t="str">
        <x:v>KS-INJECTION-1000-P-202509-2-GRN</x:v>
      </x:c>
      <x:c r="L70" s="12" t="str">
        <x:v>SYNTHETIC</x:v>
      </x:c>
    </x:row>
    <x:row r="71" ht="38" customHeight="1">
      <x:c r="A71" s="12" t="str">
        <x:v>KS-INJECTION-1000-P-202510-1</x:v>
      </x:c>
      <x:c r="B71" s="14" t="n">
        <x:v>45938</x:v>
      </x:c>
      <x:c r="C71" s="12" t="str">
        <x:v>模拟原料商1</x:v>
      </x:c>
      <x:c r="D71" s="12" t="str">
        <x:v>PP粒子</x:v>
      </x:c>
      <x:c r="E71" s="13" t="n">
        <x:v>161148.75</x:v>
      </x:c>
      <x:c r="F71" s="13" t="n">
        <x:v>8</x:v>
      </x:c>
      <x:c r="G71" s="13" t="n">
        <x:v>1289190</x:v>
      </x:c>
      <x:c r="H71" s="13" t="n">
        <x:v>167594</x:v>
      </x:c>
      <x:c r="I71" s="13" t="n">
        <x:v>1456784</x:v>
      </x:c>
      <x:c r="J71" s="12" t="str">
        <x:v>KS-INJECTION-1000-P-202510-1-INV</x:v>
      </x:c>
      <x:c r="K71" s="12" t="str">
        <x:v>KS-INJECTION-1000-P-202510-1-GRN</x:v>
      </x:c>
      <x:c r="L71" s="12" t="str">
        <x:v>SYNTHETIC</x:v>
      </x:c>
    </x:row>
    <x:row r="72" ht="38" customHeight="1">
      <x:c r="A72" s="12" t="str">
        <x:v>KS-INJECTION-1000-P-202510-2</x:v>
      </x:c>
      <x:c r="B72" s="14" t="n">
        <x:v>45938</x:v>
      </x:c>
      <x:c r="C72" s="12" t="str">
        <x:v>模拟原料商2</x:v>
      </x:c>
      <x:c r="D72" s="12" t="str">
        <x:v>PP粒子</x:v>
      </x:c>
      <x:c r="E72" s="13" t="n">
        <x:v>107432.5</x:v>
      </x:c>
      <x:c r="F72" s="13" t="n">
        <x:v>8</x:v>
      </x:c>
      <x:c r="G72" s="13" t="n">
        <x:v>859460</x:v>
      </x:c>
      <x:c r="H72" s="13" t="n">
        <x:v>111730</x:v>
      </x:c>
      <x:c r="I72" s="13" t="n">
        <x:v>971190</x:v>
      </x:c>
      <x:c r="J72" s="12" t="str">
        <x:v>KS-INJECTION-1000-P-202510-2-INV</x:v>
      </x:c>
      <x:c r="K72" s="12" t="str">
        <x:v>KS-INJECTION-1000-P-202510-2-GRN</x:v>
      </x:c>
      <x:c r="L72" s="12" t="str">
        <x:v>SYNTHETIC</x:v>
      </x:c>
    </x:row>
    <x:row r="73" ht="38" customHeight="1">
      <x:c r="A73" s="12" t="str">
        <x:v>KS-INJECTION-1000-P-202511-1</x:v>
      </x:c>
      <x:c r="B73" s="14" t="n">
        <x:v>45969</x:v>
      </x:c>
      <x:c r="C73" s="12" t="str">
        <x:v>模拟原料商1</x:v>
      </x:c>
      <x:c r="D73" s="12" t="str">
        <x:v>PP粒子</x:v>
      </x:c>
      <x:c r="E73" s="13" t="n">
        <x:v>167468</x:v>
      </x:c>
      <x:c r="F73" s="13" t="n">
        <x:v>8</x:v>
      </x:c>
      <x:c r="G73" s="13" t="n">
        <x:v>1339744</x:v>
      </x:c>
      <x:c r="H73" s="13" t="n">
        <x:v>174167</x:v>
      </x:c>
      <x:c r="I73" s="13" t="n">
        <x:v>1513911</x:v>
      </x:c>
      <x:c r="J73" s="12" t="str">
        <x:v>KS-INJECTION-1000-P-202511-1-INV</x:v>
      </x:c>
      <x:c r="K73" s="12" t="str">
        <x:v>KS-INJECTION-1000-P-202511-1-GRN</x:v>
      </x:c>
      <x:c r="L73" s="12" t="str">
        <x:v>SYNTHETIC</x:v>
      </x:c>
    </x:row>
    <x:row r="74" ht="38" customHeight="1">
      <x:c r="A74" s="12" t="str">
        <x:v>KS-INJECTION-1000-P-202511-2</x:v>
      </x:c>
      <x:c r="B74" s="14" t="n">
        <x:v>45969</x:v>
      </x:c>
      <x:c r="C74" s="12" t="str">
        <x:v>模拟原料商2</x:v>
      </x:c>
      <x:c r="D74" s="12" t="str">
        <x:v>PP粒子</x:v>
      </x:c>
      <x:c r="E74" s="13" t="n">
        <x:v>111645.375</x:v>
      </x:c>
      <x:c r="F74" s="13" t="n">
        <x:v>8</x:v>
      </x:c>
      <x:c r="G74" s="13" t="n">
        <x:v>893163</x:v>
      </x:c>
      <x:c r="H74" s="13" t="n">
        <x:v>116111</x:v>
      </x:c>
      <x:c r="I74" s="13" t="n">
        <x:v>1009274</x:v>
      </x:c>
      <x:c r="J74" s="12" t="str">
        <x:v>KS-INJECTION-1000-P-202511-2-INV</x:v>
      </x:c>
      <x:c r="K74" s="12" t="str">
        <x:v>KS-INJECTION-1000-P-202511-2-GRN</x:v>
      </x:c>
      <x:c r="L74" s="12" t="str">
        <x:v>SYNTHETIC</x:v>
      </x:c>
    </x:row>
    <x:row r="75" ht="38" customHeight="1">
      <x:c r="A75" s="12" t="str">
        <x:v>KS-INJECTION-1000-P-202512-1</x:v>
      </x:c>
      <x:c r="B75" s="14" t="n">
        <x:v>45999</x:v>
      </x:c>
      <x:c r="C75" s="12" t="str">
        <x:v>模拟原料商1</x:v>
      </x:c>
      <x:c r="D75" s="12" t="str">
        <x:v>PP粒子</x:v>
      </x:c>
      <x:c r="E75" s="13" t="n">
        <x:v>173787.75</x:v>
      </x:c>
      <x:c r="F75" s="13" t="n">
        <x:v>8</x:v>
      </x:c>
      <x:c r="G75" s="13" t="n">
        <x:v>1390302</x:v>
      </x:c>
      <x:c r="H75" s="13" t="n">
        <x:v>180739</x:v>
      </x:c>
      <x:c r="I75" s="13" t="n">
        <x:v>1571041</x:v>
      </x:c>
      <x:c r="J75" s="12" t="str">
        <x:v>KS-INJECTION-1000-P-202512-1-INV</x:v>
      </x:c>
      <x:c r="K75" s="12" t="str">
        <x:v>KS-INJECTION-1000-P-202512-1-GRN</x:v>
      </x:c>
      <x:c r="L75" s="12" t="str">
        <x:v>SYNTHETIC</x:v>
      </x:c>
    </x:row>
    <x:row r="76" ht="38" customHeight="1">
      <x:c r="A76" s="12" t="str">
        <x:v>KS-INJECTION-1000-P-202512-2</x:v>
      </x:c>
      <x:c r="B76" s="14" t="n">
        <x:v>45999</x:v>
      </x:c>
      <x:c r="C76" s="12" t="str">
        <x:v>模拟原料商2</x:v>
      </x:c>
      <x:c r="D76" s="12" t="str">
        <x:v>PP粒子</x:v>
      </x:c>
      <x:c r="E76" s="13" t="n">
        <x:v>115858.5</x:v>
      </x:c>
      <x:c r="F76" s="13" t="n">
        <x:v>8</x:v>
      </x:c>
      <x:c r="G76" s="13" t="n">
        <x:v>926868</x:v>
      </x:c>
      <x:c r="H76" s="13" t="n">
        <x:v>120493</x:v>
      </x:c>
      <x:c r="I76" s="13" t="n">
        <x:v>1047361</x:v>
      </x:c>
      <x:c r="J76" s="12" t="str">
        <x:v>KS-INJECTION-1000-P-202512-2-INV</x:v>
      </x:c>
      <x:c r="K76" s="12" t="str">
        <x:v>KS-INJECTION-1000-P-202512-2-GRN</x:v>
      </x:c>
      <x:c r="L76" s="12" t="str">
        <x:v>SYNTHETIC</x:v>
      </x:c>
    </x:row>
    <x:row r="77" ht="38" customHeight="1">
      <x:c r="A77" s="12" t="str">
        <x:v>KS-INJECTION-1000-P-202601-1</x:v>
      </x:c>
      <x:c r="B77" s="14" t="n">
        <x:v>46030</x:v>
      </x:c>
      <x:c r="C77" s="12" t="str">
        <x:v>模拟原料商1</x:v>
      </x:c>
      <x:c r="D77" s="12" t="str">
        <x:v>PP粒子</x:v>
      </x:c>
      <x:c r="E77" s="13" t="n">
        <x:v>136502.25</x:v>
      </x:c>
      <x:c r="F77" s="13" t="n">
        <x:v>8</x:v>
      </x:c>
      <x:c r="G77" s="13" t="n">
        <x:v>1092018</x:v>
      </x:c>
      <x:c r="H77" s="13" t="n">
        <x:v>141962</x:v>
      </x:c>
      <x:c r="I77" s="13" t="n">
        <x:v>1233980</x:v>
      </x:c>
      <x:c r="J77" s="12" t="str">
        <x:v>KS-INJECTION-1000-P-202601-1-INV</x:v>
      </x:c>
      <x:c r="K77" s="12" t="str">
        <x:v>KS-INJECTION-1000-P-202601-1-GRN</x:v>
      </x:c>
      <x:c r="L77" s="12" t="str">
        <x:v>SYNTHETIC</x:v>
      </x:c>
    </x:row>
    <x:row r="78" ht="38" customHeight="1">
      <x:c r="A78" s="12" t="str">
        <x:v>KS-INJECTION-1000-P-202601-2</x:v>
      </x:c>
      <x:c r="B78" s="14" t="n">
        <x:v>46030</x:v>
      </x:c>
      <x:c r="C78" s="12" t="str">
        <x:v>模拟原料商2</x:v>
      </x:c>
      <x:c r="D78" s="12" t="str">
        <x:v>PP粒子</x:v>
      </x:c>
      <x:c r="E78" s="13" t="n">
        <x:v>91001.5</x:v>
      </x:c>
      <x:c r="F78" s="13" t="n">
        <x:v>8</x:v>
      </x:c>
      <x:c r="G78" s="13" t="n">
        <x:v>728012</x:v>
      </x:c>
      <x:c r="H78" s="13" t="n">
        <x:v>94642</x:v>
      </x:c>
      <x:c r="I78" s="13" t="n">
        <x:v>822654</x:v>
      </x:c>
      <x:c r="J78" s="12" t="str">
        <x:v>KS-INJECTION-1000-P-202601-2-INV</x:v>
      </x:c>
      <x:c r="K78" s="12" t="str">
        <x:v>KS-INJECTION-1000-P-202601-2-GRN</x:v>
      </x:c>
      <x:c r="L78" s="12" t="str">
        <x:v>SYNTHETIC</x:v>
      </x:c>
    </x:row>
    <x:row r="79" ht="38" customHeight="1">
      <x:c r="A79" s="12" t="str">
        <x:v>KS-INJECTION-1000-P-202602-1</x:v>
      </x:c>
      <x:c r="B79" s="14" t="n">
        <x:v>46061</x:v>
      </x:c>
      <x:c r="C79" s="12" t="str">
        <x:v>模拟原料商1</x:v>
      </x:c>
      <x:c r="D79" s="12" t="str">
        <x:v>PP粒子</x:v>
      </x:c>
      <x:c r="E79" s="13" t="n">
        <x:v>122852</x:v>
      </x:c>
      <x:c r="F79" s="13" t="n">
        <x:v>8</x:v>
      </x:c>
      <x:c r="G79" s="13" t="n">
        <x:v>982816</x:v>
      </x:c>
      <x:c r="H79" s="13" t="n">
        <x:v>127766</x:v>
      </x:c>
      <x:c r="I79" s="13" t="n">
        <x:v>1110582</x:v>
      </x:c>
      <x:c r="J79" s="12" t="str">
        <x:v>KS-INJECTION-1000-P-202602-1-INV</x:v>
      </x:c>
      <x:c r="K79" s="12" t="str">
        <x:v>KS-INJECTION-1000-P-202602-1-GRN</x:v>
      </x:c>
      <x:c r="L79" s="12" t="str">
        <x:v>SYNTHETIC</x:v>
      </x:c>
    </x:row>
    <x:row r="80" ht="38" customHeight="1">
      <x:c r="A80" s="12" t="str">
        <x:v>KS-INJECTION-1000-P-202602-2</x:v>
      </x:c>
      <x:c r="B80" s="14" t="n">
        <x:v>46061</x:v>
      </x:c>
      <x:c r="C80" s="12" t="str">
        <x:v>模拟原料商2</x:v>
      </x:c>
      <x:c r="D80" s="12" t="str">
        <x:v>PP粒子</x:v>
      </x:c>
      <x:c r="E80" s="13" t="n">
        <x:v>81901.375</x:v>
      </x:c>
      <x:c r="F80" s="13" t="n">
        <x:v>8</x:v>
      </x:c>
      <x:c r="G80" s="13" t="n">
        <x:v>655211</x:v>
      </x:c>
      <x:c r="H80" s="13" t="n">
        <x:v>85178</x:v>
      </x:c>
      <x:c r="I80" s="13" t="n">
        <x:v>740389</x:v>
      </x:c>
      <x:c r="J80" s="12" t="str">
        <x:v>KS-INJECTION-1000-P-202602-2-INV</x:v>
      </x:c>
      <x:c r="K80" s="12" t="str">
        <x:v>KS-INJECTION-1000-P-202602-2-GRN</x:v>
      </x:c>
      <x:c r="L80" s="12" t="str">
        <x:v>SYNTHETIC</x:v>
      </x:c>
    </x:row>
    <x:row r="81" ht="38" customHeight="1">
      <x:c r="A81" s="12" t="str">
        <x:v>KS-INJECTION-1000-P-202603-1</x:v>
      </x:c>
      <x:c r="B81" s="14" t="n">
        <x:v>46089</x:v>
      </x:c>
      <x:c r="C81" s="12" t="str">
        <x:v>模拟原料商1</x:v>
      </x:c>
      <x:c r="D81" s="12" t="str">
        <x:v>PP粒子</x:v>
      </x:c>
      <x:c r="E81" s="13" t="n">
        <x:v>174040.5</x:v>
      </x:c>
      <x:c r="F81" s="13" t="n">
        <x:v>8</x:v>
      </x:c>
      <x:c r="G81" s="13" t="n">
        <x:v>1392324</x:v>
      </x:c>
      <x:c r="H81" s="13" t="n">
        <x:v>181002</x:v>
      </x:c>
      <x:c r="I81" s="13" t="n">
        <x:v>1573326</x:v>
      </x:c>
      <x:c r="J81" s="12" t="str">
        <x:v>KS-INJECTION-1000-P-202603-1-INV</x:v>
      </x:c>
      <x:c r="K81" s="12" t="str">
        <x:v>KS-INJECTION-1000-P-202603-1-GRN</x:v>
      </x:c>
      <x:c r="L81" s="12" t="str">
        <x:v>SYNTHETIC</x:v>
      </x:c>
    </x:row>
    <x:row r="82" ht="38" customHeight="1">
      <x:c r="A82" s="12" t="str">
        <x:v>KS-INJECTION-1000-P-202603-2</x:v>
      </x:c>
      <x:c r="B82" s="14" t="n">
        <x:v>46089</x:v>
      </x:c>
      <x:c r="C82" s="12" t="str">
        <x:v>模拟原料商2</x:v>
      </x:c>
      <x:c r="D82" s="12" t="str">
        <x:v>PP粒子</x:v>
      </x:c>
      <x:c r="E82" s="13" t="n">
        <x:v>116027</x:v>
      </x:c>
      <x:c r="F82" s="13" t="n">
        <x:v>8</x:v>
      </x:c>
      <x:c r="G82" s="13" t="n">
        <x:v>928216</x:v>
      </x:c>
      <x:c r="H82" s="13" t="n">
        <x:v>120668</x:v>
      </x:c>
      <x:c r="I82" s="13" t="n">
        <x:v>1048884</x:v>
      </x:c>
      <x:c r="J82" s="12" t="str">
        <x:v>KS-INJECTION-1000-P-202603-2-INV</x:v>
      </x:c>
      <x:c r="K82" s="12" t="str">
        <x:v>KS-INJECTION-1000-P-202603-2-GRN</x:v>
      </x:c>
      <x:c r="L82" s="12" t="str">
        <x:v>SYNTHETIC</x:v>
      </x:c>
    </x:row>
    <x:row r="83" ht="38" customHeight="1">
      <x:c r="A83" s="12" t="str">
        <x:v>KS-INJECTION-1000-P-202604-1</x:v>
      </x:c>
      <x:c r="B83" s="14" t="n">
        <x:v>46120</x:v>
      </x:c>
      <x:c r="C83" s="12" t="str">
        <x:v>模拟原料商1</x:v>
      </x:c>
      <x:c r="D83" s="12" t="str">
        <x:v>PP粒子</x:v>
      </x:c>
      <x:c r="E83" s="13" t="n">
        <x:v>180865.625</x:v>
      </x:c>
      <x:c r="F83" s="13" t="n">
        <x:v>8</x:v>
      </x:c>
      <x:c r="G83" s="13" t="n">
        <x:v>1446925</x:v>
      </x:c>
      <x:c r="H83" s="13" t="n">
        <x:v>188100</x:v>
      </x:c>
      <x:c r="I83" s="13" t="n">
        <x:v>1635025</x:v>
      </x:c>
      <x:c r="J83" s="12" t="str">
        <x:v>KS-INJECTION-1000-P-202604-1-INV</x:v>
      </x:c>
      <x:c r="K83" s="12" t="str">
        <x:v>KS-INJECTION-1000-P-202604-1-GRN</x:v>
      </x:c>
      <x:c r="L83" s="12" t="str">
        <x:v>SYNTHETIC</x:v>
      </x:c>
    </x:row>
    <x:row r="84" ht="38" customHeight="1">
      <x:c r="A84" s="12" t="str">
        <x:v>KS-INJECTION-1000-P-202604-2</x:v>
      </x:c>
      <x:c r="B84" s="14" t="n">
        <x:v>46120</x:v>
      </x:c>
      <x:c r="C84" s="12" t="str">
        <x:v>模拟原料商2</x:v>
      </x:c>
      <x:c r="D84" s="12" t="str">
        <x:v>PP粒子</x:v>
      </x:c>
      <x:c r="E84" s="13" t="n">
        <x:v>120577</x:v>
      </x:c>
      <x:c r="F84" s="13" t="n">
        <x:v>8</x:v>
      </x:c>
      <x:c r="G84" s="13" t="n">
        <x:v>964616</x:v>
      </x:c>
      <x:c r="H84" s="13" t="n">
        <x:v>125400</x:v>
      </x:c>
      <x:c r="I84" s="13" t="n">
        <x:v>1090016</x:v>
      </x:c>
      <x:c r="J84" s="12" t="str">
        <x:v>KS-INJECTION-1000-P-202604-2-INV</x:v>
      </x:c>
      <x:c r="K84" s="12" t="str">
        <x:v>KS-INJECTION-1000-P-202604-2-GRN</x:v>
      </x:c>
      <x:c r="L84" s="12" t="str">
        <x:v>SYNTHETIC</x:v>
      </x:c>
    </x:row>
    <x:row r="85" ht="38" customHeight="1">
      <x:c r="A85" s="12" t="str">
        <x:v>KS-INJECTION-1000-P-202605-1</x:v>
      </x:c>
      <x:c r="B85" s="14" t="n">
        <x:v>46150</x:v>
      </x:c>
      <x:c r="C85" s="12" t="str">
        <x:v>模拟原料商1</x:v>
      </x:c>
      <x:c r="D85" s="12" t="str">
        <x:v>PP粒子</x:v>
      </x:c>
      <x:c r="E85" s="13" t="n">
        <x:v>187690.75</x:v>
      </x:c>
      <x:c r="F85" s="13" t="n">
        <x:v>8</x:v>
      </x:c>
      <x:c r="G85" s="13" t="n">
        <x:v>1501526</x:v>
      </x:c>
      <x:c r="H85" s="13" t="n">
        <x:v>195199</x:v>
      </x:c>
      <x:c r="I85" s="13" t="n">
        <x:v>1696725</x:v>
      </x:c>
      <x:c r="J85" s="12" t="str">
        <x:v>KS-INJECTION-1000-P-202605-1-INV</x:v>
      </x:c>
      <x:c r="K85" s="12" t="str">
        <x:v>KS-INJECTION-1000-P-202605-1-GRN</x:v>
      </x:c>
      <x:c r="L85" s="12" t="str">
        <x:v>SYNTHETIC</x:v>
      </x:c>
    </x:row>
    <x:row r="86" ht="38" customHeight="1">
      <x:c r="A86" s="12" t="str">
        <x:v>KS-INJECTION-1000-P-202605-2</x:v>
      </x:c>
      <x:c r="B86" s="14" t="n">
        <x:v>46150</x:v>
      </x:c>
      <x:c r="C86" s="12" t="str">
        <x:v>模拟原料商2</x:v>
      </x:c>
      <x:c r="D86" s="12" t="str">
        <x:v>PP粒子</x:v>
      </x:c>
      <x:c r="E86" s="13" t="n">
        <x:v>125127.125</x:v>
      </x:c>
      <x:c r="F86" s="13" t="n">
        <x:v>8</x:v>
      </x:c>
      <x:c r="G86" s="13" t="n">
        <x:v>1001017</x:v>
      </x:c>
      <x:c r="H86" s="13" t="n">
        <x:v>130132</x:v>
      </x:c>
      <x:c r="I86" s="13" t="n">
        <x:v>1131149</x:v>
      </x:c>
      <x:c r="J86" s="12" t="str">
        <x:v>KS-INJECTION-1000-P-202605-2-INV</x:v>
      </x:c>
      <x:c r="K86" s="12" t="str">
        <x:v>KS-INJECTION-1000-P-202605-2-GRN</x:v>
      </x:c>
      <x:c r="L86" s="12" t="str">
        <x:v>SYNTHETIC</x:v>
      </x:c>
    </x:row>
    <x:row r="87" ht="38" customHeight="1">
      <x:c r="A87" s="12" t="str">
        <x:v>KS-INJECTION-1000-P-202606-1</x:v>
      </x:c>
      <x:c r="B87" s="14" t="n">
        <x:v>46181</x:v>
      </x:c>
      <x:c r="C87" s="12" t="str">
        <x:v>模拟原料商1</x:v>
      </x:c>
      <x:c r="D87" s="12" t="str">
        <x:v>PP粒子</x:v>
      </x:c>
      <x:c r="E87" s="13" t="n">
        <x:v>179159.375</x:v>
      </x:c>
      <x:c r="F87" s="13" t="n">
        <x:v>8</x:v>
      </x:c>
      <x:c r="G87" s="13" t="n">
        <x:v>1433275</x:v>
      </x:c>
      <x:c r="H87" s="13" t="n">
        <x:v>186326</x:v>
      </x:c>
      <x:c r="I87" s="13" t="n">
        <x:v>1619601</x:v>
      </x:c>
      <x:c r="J87" s="12" t="str">
        <x:v>KS-INJECTION-1000-P-202606-1-INV</x:v>
      </x:c>
      <x:c r="K87" s="12" t="str">
        <x:v>KS-INJECTION-1000-P-202606-1-GRN</x:v>
      </x:c>
      <x:c r="L87" s="12" t="str">
        <x:v>SYNTHETIC</x:v>
      </x:c>
    </x:row>
    <x:row r="88" ht="38" customHeight="1">
      <x:c r="A88" s="12" t="str">
        <x:v>KS-INJECTION-1000-P-202606-2</x:v>
      </x:c>
      <x:c r="B88" s="14" t="n">
        <x:v>46181</x:v>
      </x:c>
      <x:c r="C88" s="12" t="str">
        <x:v>模拟原料商2</x:v>
      </x:c>
      <x:c r="D88" s="12" t="str">
        <x:v>PP粒子</x:v>
      </x:c>
      <x:c r="E88" s="13" t="n">
        <x:v>119439.5</x:v>
      </x:c>
      <x:c r="F88" s="13" t="n">
        <x:v>8</x:v>
      </x:c>
      <x:c r="G88" s="13" t="n">
        <x:v>955516</x:v>
      </x:c>
      <x:c r="H88" s="13" t="n">
        <x:v>124217</x:v>
      </x:c>
      <x:c r="I88" s="13" t="n">
        <x:v>1079733</x:v>
      </x:c>
      <x:c r="J88" s="12" t="str">
        <x:v>KS-INJECTION-1000-P-202606-2-INV</x:v>
      </x:c>
      <x:c r="K88" s="12" t="str">
        <x:v>KS-INJECTION-1000-P-202606-2-GRN</x:v>
      </x:c>
      <x:c r="L88" s="12" t="str">
        <x:v>SYNTHETIC</x:v>
      </x:c>
    </x:row>
    <x:row r="89" ht="38" customHeight="1">
      <x:c r="A89" s="12" t="str">
        <x:v>KS-INJECTION-1000-P-202607-1</x:v>
      </x:c>
      <x:c r="B89" s="14" t="n">
        <x:v>46211</x:v>
      </x:c>
      <x:c r="C89" s="12" t="str">
        <x:v>模拟原料商1</x:v>
      </x:c>
      <x:c r="D89" s="12" t="str">
        <x:v>PP粒子</x:v>
      </x:c>
      <x:c r="E89" s="13" t="n">
        <x:v>184278.125</x:v>
      </x:c>
      <x:c r="F89" s="13" t="n">
        <x:v>8</x:v>
      </x:c>
      <x:c r="G89" s="13" t="n">
        <x:v>1474225</x:v>
      </x:c>
      <x:c r="H89" s="13" t="n">
        <x:v>191649</x:v>
      </x:c>
      <x:c r="I89" s="13" t="n">
        <x:v>1665874</x:v>
      </x:c>
      <x:c r="J89" s="12" t="str">
        <x:v>KS-INJECTION-1000-P-202607-1-INV</x:v>
      </x:c>
      <x:c r="K89" s="12" t="str">
        <x:v>KS-INJECTION-1000-P-202607-1-GRN</x:v>
      </x:c>
      <x:c r="L89" s="12" t="str">
        <x:v>SYNTHETIC</x:v>
      </x:c>
    </x:row>
    <x:row r="90" ht="38" customHeight="1">
      <x:c r="A90" s="12" t="str">
        <x:v>KS-INJECTION-1000-P-202607-2</x:v>
      </x:c>
      <x:c r="B90" s="14" t="n">
        <x:v>46211</x:v>
      </x:c>
      <x:c r="C90" s="12" t="str">
        <x:v>模拟原料商2</x:v>
      </x:c>
      <x:c r="D90" s="12" t="str">
        <x:v>PP粒子</x:v>
      </x:c>
      <x:c r="E90" s="13" t="n">
        <x:v>122852.125</x:v>
      </x:c>
      <x:c r="F90" s="13" t="n">
        <x:v>8</x:v>
      </x:c>
      <x:c r="G90" s="13" t="n">
        <x:v>982817</x:v>
      </x:c>
      <x:c r="H90" s="13" t="n">
        <x:v>127766</x:v>
      </x:c>
      <x:c r="I90" s="13" t="n">
        <x:v>1110583</x:v>
      </x:c>
      <x:c r="J90" s="12" t="str">
        <x:v>KS-INJECTION-1000-P-202607-2-INV</x:v>
      </x:c>
      <x:c r="K90" s="12" t="str">
        <x:v>KS-INJECTION-1000-P-202607-2-GRN</x:v>
      </x:c>
      <x:c r="L90" s="12" t="str">
        <x:v>SYNTHETIC</x:v>
      </x:c>
    </x:row>
    <x:row r="91" ht="38" customHeight="1">
      <x:c r="A91" s="12" t="str">
        <x:v>KS-INJECTION-1000-P-202608-1</x:v>
      </x:c>
      <x:c r="B91" s="14" t="n">
        <x:v>46242</x:v>
      </x:c>
      <x:c r="C91" s="12" t="str">
        <x:v>模拟原料商1</x:v>
      </x:c>
      <x:c r="D91" s="12" t="str">
        <x:v>PP粒子</x:v>
      </x:c>
      <x:c r="E91" s="13" t="n">
        <x:v>184278.125</x:v>
      </x:c>
      <x:c r="F91" s="13" t="n">
        <x:v>8</x:v>
      </x:c>
      <x:c r="G91" s="13" t="n">
        <x:v>1474225</x:v>
      </x:c>
      <x:c r="H91" s="13" t="n">
        <x:v>191649</x:v>
      </x:c>
      <x:c r="I91" s="13" t="n">
        <x:v>1665874</x:v>
      </x:c>
      <x:c r="J91" s="12" t="str">
        <x:v>KS-INJECTION-1000-P-202608-1-INV</x:v>
      </x:c>
      <x:c r="K91" s="12" t="str">
        <x:v>KS-INJECTION-1000-P-202608-1-GRN</x:v>
      </x:c>
      <x:c r="L91" s="12" t="str">
        <x:v>SYNTHETIC</x:v>
      </x:c>
    </x:row>
    <x:row r="92" ht="38" customHeight="1">
      <x:c r="A92" s="12" t="str">
        <x:v>KS-INJECTION-1000-P-202608-2</x:v>
      </x:c>
      <x:c r="B92" s="14" t="n">
        <x:v>46242</x:v>
      </x:c>
      <x:c r="C92" s="12" t="str">
        <x:v>模拟原料商2</x:v>
      </x:c>
      <x:c r="D92" s="12" t="str">
        <x:v>PP粒子</x:v>
      </x:c>
      <x:c r="E92" s="13" t="n">
        <x:v>122852.125</x:v>
      </x:c>
      <x:c r="F92" s="13" t="n">
        <x:v>8</x:v>
      </x:c>
      <x:c r="G92" s="13" t="n">
        <x:v>982817</x:v>
      </x:c>
      <x:c r="H92" s="13" t="n">
        <x:v>127766</x:v>
      </x:c>
      <x:c r="I92" s="13" t="n">
        <x:v>1110583</x:v>
      </x:c>
      <x:c r="J92" s="12" t="str">
        <x:v>KS-INJECTION-1000-P-202608-2-INV</x:v>
      </x:c>
      <x:c r="K92" s="12" t="str">
        <x:v>KS-INJECTION-1000-P-202608-2-GRN</x:v>
      </x:c>
      <x:c r="L92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4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6" hidden="0" customWidth="1"/>
  </x:cols>
  <x:sheetData>
    <x:row r="1" ht="30" customHeight="1">
      <x:c r="A1" s="9" t="str">
        <x:v>喀什示例塑料制品有限公司 · 生产用电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38" customHeight="1">
      <x:c r="A4" s="11" t="str">
        <x:v>月份</x:v>
      </x:c>
      <x:c r="B4" s="11" t="str">
        <x:v>批次</x:v>
      </x:c>
      <x:c r="C4" s="11" t="str">
        <x:v>产品</x:v>
      </x:c>
      <x:c r="D4" s="11" t="str">
        <x:v>投入件数或kg</x:v>
      </x:c>
      <x:c r="E4" s="11" t="str">
        <x:v>良品件数或kg</x:v>
      </x:c>
      <x:c r="F4" s="11" t="str">
        <x:v>损耗件数或kg</x:v>
      </x:c>
      <x:c r="G4" s="11" t="str">
        <x:v>原料领用kg</x:v>
      </x:c>
      <x:c r="H4" s="11" t="str">
        <x:v>电量kWh</x:v>
      </x:c>
      <x:c r="I4" s="11" t="str">
        <x:v>电费元</x:v>
      </x:c>
      <x:c r="J4" s="11" t="str">
        <x:v>产出单位</x:v>
      </x:c>
      <x:c r="K4" s="11" t="str">
        <x:v>备注</x:v>
      </x:c>
    </x:row>
    <x:row r="5" ht="38" customHeight="1">
      <x:c r="A5" s="12" t="str">
        <x:v>2023-01</x:v>
      </x:c>
      <x:c r="B5" s="12" t="str">
        <x:v>KS-INJECTION-1000-LOT-202301</x:v>
      </x:c>
      <x:c r="C5" s="12" t="str">
        <x:v>工业塑料周转配件</x:v>
      </x:c>
      <x:c r="D5" s="13" t="n">
        <x:v>288660</x:v>
      </x:c>
      <x:c r="E5" s="13" t="n">
        <x:v>280000</x:v>
      </x:c>
      <x:c r="F5" s="13" t="n">
        <x:v>8660</x:v>
      </x:c>
      <x:c r="G5" s="13" t="n">
        <x:v>180600</x:v>
      </x:c>
      <x:c r="H5" s="13" t="n">
        <x:v>277333</x:v>
      </x:c>
      <x:c r="I5" s="13" t="n">
        <x:v>208000</x:v>
      </x:c>
      <x:c r="J5" s="12" t="str">
        <x:v>件</x:v>
      </x:c>
      <x:c r="K5" s="12" t="str">
        <x:v>计划口径；产能及耗用待现场验证</x:v>
      </x:c>
    </x:row>
    <x:row r="6" ht="38" customHeight="1">
      <x:c r="A6" s="12" t="str">
        <x:v>2023-02</x:v>
      </x:c>
      <x:c r="B6" s="12" t="str">
        <x:v>KS-INJECTION-1000-LOT-202302</x:v>
      </x:c>
      <x:c r="C6" s="12" t="str">
        <x:v>工业塑料周转配件</x:v>
      </x:c>
      <x:c r="D6" s="13" t="n">
        <x:v>259794</x:v>
      </x:c>
      <x:c r="E6" s="13" t="n">
        <x:v>252000</x:v>
      </x:c>
      <x:c r="F6" s="13" t="n">
        <x:v>7794</x:v>
      </x:c>
      <x:c r="G6" s="13" t="n">
        <x:v>162540</x:v>
      </x:c>
      <x:c r="H6" s="13" t="n">
        <x:v>249600</x:v>
      </x:c>
      <x:c r="I6" s="13" t="n">
        <x:v>187200</x:v>
      </x:c>
      <x:c r="J6" s="12" t="str">
        <x:v>件</x:v>
      </x:c>
      <x:c r="K6" s="12" t="str">
        <x:v>计划口径；产能及耗用待现场验证</x:v>
      </x:c>
    </x:row>
    <x:row r="7" ht="38" customHeight="1">
      <x:c r="A7" s="12" t="str">
        <x:v>2023-03</x:v>
      </x:c>
      <x:c r="B7" s="12" t="str">
        <x:v>KS-INJECTION-1000-LOT-202303</x:v>
      </x:c>
      <x:c r="C7" s="12" t="str">
        <x:v>工业塑料周转配件</x:v>
      </x:c>
      <x:c r="D7" s="13" t="n">
        <x:v>368042</x:v>
      </x:c>
      <x:c r="E7" s="13" t="n">
        <x:v>357000</x:v>
      </x:c>
      <x:c r="F7" s="13" t="n">
        <x:v>11042</x:v>
      </x:c>
      <x:c r="G7" s="13" t="n">
        <x:v>230265</x:v>
      </x:c>
      <x:c r="H7" s="13" t="n">
        <x:v>353600</x:v>
      </x:c>
      <x:c r="I7" s="13" t="n">
        <x:v>265200</x:v>
      </x:c>
      <x:c r="J7" s="12" t="str">
        <x:v>件</x:v>
      </x:c>
      <x:c r="K7" s="12" t="str">
        <x:v>计划口径；产能及耗用待现场验证</x:v>
      </x:c>
    </x:row>
    <x:row r="8" ht="38" customHeight="1">
      <x:c r="A8" s="12" t="str">
        <x:v>2023-04</x:v>
      </x:c>
      <x:c r="B8" s="12" t="str">
        <x:v>KS-INJECTION-1000-LOT-202304</x:v>
      </x:c>
      <x:c r="C8" s="12" t="str">
        <x:v>工业塑料周转配件</x:v>
      </x:c>
      <x:c r="D8" s="13" t="n">
        <x:v>382475</x:v>
      </x:c>
      <x:c r="E8" s="13" t="n">
        <x:v>371000</x:v>
      </x:c>
      <x:c r="F8" s="13" t="n">
        <x:v>11475</x:v>
      </x:c>
      <x:c r="G8" s="13" t="n">
        <x:v>239295</x:v>
      </x:c>
      <x:c r="H8" s="13" t="n">
        <x:v>367467</x:v>
      </x:c>
      <x:c r="I8" s="13" t="n">
        <x:v>275600</x:v>
      </x:c>
      <x:c r="J8" s="12" t="str">
        <x:v>件</x:v>
      </x:c>
      <x:c r="K8" s="12" t="str">
        <x:v>计划口径；产能及耗用待现场验证</x:v>
      </x:c>
    </x:row>
    <x:row r="9" ht="38" customHeight="1">
      <x:c r="A9" s="12" t="str">
        <x:v>2023-05</x:v>
      </x:c>
      <x:c r="B9" s="12" t="str">
        <x:v>KS-INJECTION-1000-LOT-202305</x:v>
      </x:c>
      <x:c r="C9" s="12" t="str">
        <x:v>工业塑料周转配件</x:v>
      </x:c>
      <x:c r="D9" s="13" t="n">
        <x:v>396908</x:v>
      </x:c>
      <x:c r="E9" s="13" t="n">
        <x:v>385000</x:v>
      </x:c>
      <x:c r="F9" s="13" t="n">
        <x:v>11908</x:v>
      </x:c>
      <x:c r="G9" s="13" t="n">
        <x:v>248325</x:v>
      </x:c>
      <x:c r="H9" s="13" t="n">
        <x:v>381333</x:v>
      </x:c>
      <x:c r="I9" s="13" t="n">
        <x:v>286000</x:v>
      </x:c>
      <x:c r="J9" s="12" t="str">
        <x:v>件</x:v>
      </x:c>
      <x:c r="K9" s="12" t="str">
        <x:v>计划口径；产能及耗用待现场验证</x:v>
      </x:c>
    </x:row>
    <x:row r="10" ht="38" customHeight="1">
      <x:c r="A10" s="12" t="str">
        <x:v>2023-06</x:v>
      </x:c>
      <x:c r="B10" s="12" t="str">
        <x:v>KS-INJECTION-1000-LOT-202306</x:v>
      </x:c>
      <x:c r="C10" s="12" t="str">
        <x:v>工业塑料周转配件</x:v>
      </x:c>
      <x:c r="D10" s="13" t="n">
        <x:v>378866</x:v>
      </x:c>
      <x:c r="E10" s="13" t="n">
        <x:v>367500</x:v>
      </x:c>
      <x:c r="F10" s="13" t="n">
        <x:v>11366</x:v>
      </x:c>
      <x:c r="G10" s="13" t="n">
        <x:v>237037.5</x:v>
      </x:c>
      <x:c r="H10" s="13" t="n">
        <x:v>364000</x:v>
      </x:c>
      <x:c r="I10" s="13" t="n">
        <x:v>273000</x:v>
      </x:c>
      <x:c r="J10" s="12" t="str">
        <x:v>件</x:v>
      </x:c>
      <x:c r="K10" s="12" t="str">
        <x:v>计划口径；产能及耗用待现场验证</x:v>
      </x:c>
    </x:row>
    <x:row r="11" ht="38" customHeight="1">
      <x:c r="A11" s="12" t="str">
        <x:v>2023-07</x:v>
      </x:c>
      <x:c r="B11" s="12" t="str">
        <x:v>KS-INJECTION-1000-LOT-202307</x:v>
      </x:c>
      <x:c r="C11" s="12" t="str">
        <x:v>工业塑料周转配件</x:v>
      </x:c>
      <x:c r="D11" s="13" t="n">
        <x:v>389691</x:v>
      </x:c>
      <x:c r="E11" s="13" t="n">
        <x:v>378000</x:v>
      </x:c>
      <x:c r="F11" s="13" t="n">
        <x:v>11691</x:v>
      </x:c>
      <x:c r="G11" s="13" t="n">
        <x:v>243810</x:v>
      </x:c>
      <x:c r="H11" s="13" t="n">
        <x:v>374400</x:v>
      </x:c>
      <x:c r="I11" s="13" t="n">
        <x:v>280800</x:v>
      </x:c>
      <x:c r="J11" s="12" t="str">
        <x:v>件</x:v>
      </x:c>
      <x:c r="K11" s="12" t="str">
        <x:v>计划口径；产能及耗用待现场验证</x:v>
      </x:c>
    </x:row>
    <x:row r="12" ht="38" customHeight="1">
      <x:c r="A12" s="12" t="str">
        <x:v>2023-08</x:v>
      </x:c>
      <x:c r="B12" s="12" t="str">
        <x:v>KS-INJECTION-1000-LOT-202308</x:v>
      </x:c>
      <x:c r="C12" s="12" t="str">
        <x:v>工业塑料周转配件</x:v>
      </x:c>
      <x:c r="D12" s="13" t="n">
        <x:v>389691</x:v>
      </x:c>
      <x:c r="E12" s="13" t="n">
        <x:v>378000</x:v>
      </x:c>
      <x:c r="F12" s="13" t="n">
        <x:v>11691</x:v>
      </x:c>
      <x:c r="G12" s="13" t="n">
        <x:v>243810</x:v>
      </x:c>
      <x:c r="H12" s="13" t="n">
        <x:v>374400</x:v>
      </x:c>
      <x:c r="I12" s="13" t="n">
        <x:v>280800</x:v>
      </x:c>
      <x:c r="J12" s="12" t="str">
        <x:v>件</x:v>
      </x:c>
      <x:c r="K12" s="12" t="str">
        <x:v>计划口径；产能及耗用待现场验证</x:v>
      </x:c>
    </x:row>
    <x:row r="13" ht="38" customHeight="1">
      <x:c r="A13" s="12" t="str">
        <x:v>2023-09</x:v>
      </x:c>
      <x:c r="B13" s="12" t="str">
        <x:v>KS-INJECTION-1000-LOT-202309</x:v>
      </x:c>
      <x:c r="C13" s="12" t="str">
        <x:v>工业塑料周转配件</x:v>
      </x:c>
      <x:c r="D13" s="13" t="n">
        <x:v>375258</x:v>
      </x:c>
      <x:c r="E13" s="13" t="n">
        <x:v>364000</x:v>
      </x:c>
      <x:c r="F13" s="13" t="n">
        <x:v>11258</x:v>
      </x:c>
      <x:c r="G13" s="13" t="n">
        <x:v>234780</x:v>
      </x:c>
      <x:c r="H13" s="13" t="n">
        <x:v>360533</x:v>
      </x:c>
      <x:c r="I13" s="13" t="n">
        <x:v>270400</x:v>
      </x:c>
      <x:c r="J13" s="12" t="str">
        <x:v>件</x:v>
      </x:c>
      <x:c r="K13" s="12" t="str">
        <x:v>计划口径；产能及耗用待现场验证</x:v>
      </x:c>
    </x:row>
    <x:row r="14" ht="38" customHeight="1">
      <x:c r="A14" s="12" t="str">
        <x:v>2023-10</x:v>
      </x:c>
      <x:c r="B14" s="12" t="str">
        <x:v>KS-INJECTION-1000-LOT-202310</x:v>
      </x:c>
      <x:c r="C14" s="12" t="str">
        <x:v>工业塑料周转配件</x:v>
      </x:c>
      <x:c r="D14" s="13" t="n">
        <x:v>368042</x:v>
      </x:c>
      <x:c r="E14" s="13" t="n">
        <x:v>357000</x:v>
      </x:c>
      <x:c r="F14" s="13" t="n">
        <x:v>11042</x:v>
      </x:c>
      <x:c r="G14" s="13" t="n">
        <x:v>230265</x:v>
      </x:c>
      <x:c r="H14" s="13" t="n">
        <x:v>353600</x:v>
      </x:c>
      <x:c r="I14" s="13" t="n">
        <x:v>265200</x:v>
      </x:c>
      <x:c r="J14" s="12" t="str">
        <x:v>件</x:v>
      </x:c>
      <x:c r="K14" s="12" t="str">
        <x:v>计划口径；产能及耗用待现场验证</x:v>
      </x:c>
    </x:row>
    <x:row r="15" ht="38" customHeight="1">
      <x:c r="A15" s="12" t="str">
        <x:v>2023-11</x:v>
      </x:c>
      <x:c r="B15" s="12" t="str">
        <x:v>KS-INJECTION-1000-LOT-202311</x:v>
      </x:c>
      <x:c r="C15" s="12" t="str">
        <x:v>工业塑料周转配件</x:v>
      </x:c>
      <x:c r="D15" s="13" t="n">
        <x:v>382475</x:v>
      </x:c>
      <x:c r="E15" s="13" t="n">
        <x:v>371000</x:v>
      </x:c>
      <x:c r="F15" s="13" t="n">
        <x:v>11475</x:v>
      </x:c>
      <x:c r="G15" s="13" t="n">
        <x:v>239295</x:v>
      </x:c>
      <x:c r="H15" s="13" t="n">
        <x:v>367467</x:v>
      </x:c>
      <x:c r="I15" s="13" t="n">
        <x:v>275600</x:v>
      </x:c>
      <x:c r="J15" s="12" t="str">
        <x:v>件</x:v>
      </x:c>
      <x:c r="K15" s="12" t="str">
        <x:v>计划口径；产能及耗用待现场验证</x:v>
      </x:c>
    </x:row>
    <x:row r="16" ht="38" customHeight="1">
      <x:c r="A16" s="12" t="str">
        <x:v>2023-12</x:v>
      </x:c>
      <x:c r="B16" s="12" t="str">
        <x:v>KS-INJECTION-1000-LOT-202312</x:v>
      </x:c>
      <x:c r="C16" s="12" t="str">
        <x:v>工业塑料周转配件</x:v>
      </x:c>
      <x:c r="D16" s="13" t="n">
        <x:v>396908</x:v>
      </x:c>
      <x:c r="E16" s="13" t="n">
        <x:v>385000</x:v>
      </x:c>
      <x:c r="F16" s="13" t="n">
        <x:v>11908</x:v>
      </x:c>
      <x:c r="G16" s="13" t="n">
        <x:v>248325</x:v>
      </x:c>
      <x:c r="H16" s="13" t="n">
        <x:v>381333</x:v>
      </x:c>
      <x:c r="I16" s="13" t="n">
        <x:v>286000</x:v>
      </x:c>
      <x:c r="J16" s="12" t="str">
        <x:v>件</x:v>
      </x:c>
      <x:c r="K16" s="12" t="str">
        <x:v>计划口径；产能及耗用待现场验证</x:v>
      </x:c>
    </x:row>
    <x:row r="17" ht="38" customHeight="1">
      <x:c r="A17" s="12" t="str">
        <x:v>2024-01</x:v>
      </x:c>
      <x:c r="B17" s="12" t="str">
        <x:v>KS-INJECTION-1000-LOT-202401</x:v>
      </x:c>
      <x:c r="C17" s="12" t="str">
        <x:v>工业塑料周转配件</x:v>
      </x:c>
      <x:c r="D17" s="13" t="n">
        <x:v>311753</x:v>
      </x:c>
      <x:c r="E17" s="13" t="n">
        <x:v>302400</x:v>
      </x:c>
      <x:c r="F17" s="13" t="n">
        <x:v>9353</x:v>
      </x:c>
      <x:c r="G17" s="13" t="n">
        <x:v>195048</x:v>
      </x:c>
      <x:c r="H17" s="13" t="n">
        <x:v>277333</x:v>
      </x:c>
      <x:c r="I17" s="13" t="n">
        <x:v>208000</x:v>
      </x:c>
      <x:c r="J17" s="12" t="str">
        <x:v>件</x:v>
      </x:c>
      <x:c r="K17" s="12" t="str">
        <x:v>计划口径；产能及耗用待现场验证</x:v>
      </x:c>
    </x:row>
    <x:row r="18" ht="38" customHeight="1">
      <x:c r="A18" s="12" t="str">
        <x:v>2024-02</x:v>
      </x:c>
      <x:c r="B18" s="12" t="str">
        <x:v>KS-INJECTION-1000-LOT-202402</x:v>
      </x:c>
      <x:c r="C18" s="12" t="str">
        <x:v>工业塑料周转配件</x:v>
      </x:c>
      <x:c r="D18" s="13" t="n">
        <x:v>280578</x:v>
      </x:c>
      <x:c r="E18" s="13" t="n">
        <x:v>272160</x:v>
      </x:c>
      <x:c r="F18" s="13" t="n">
        <x:v>8418</x:v>
      </x:c>
      <x:c r="G18" s="13" t="n">
        <x:v>175543.25</x:v>
      </x:c>
      <x:c r="H18" s="13" t="n">
        <x:v>249600</x:v>
      </x:c>
      <x:c r="I18" s="13" t="n">
        <x:v>187200</x:v>
      </x:c>
      <x:c r="J18" s="12" t="str">
        <x:v>件</x:v>
      </x:c>
      <x:c r="K18" s="12" t="str">
        <x:v>计划口径；产能及耗用待现场验证</x:v>
      </x:c>
    </x:row>
    <x:row r="19" ht="38" customHeight="1">
      <x:c r="A19" s="12" t="str">
        <x:v>2024-03</x:v>
      </x:c>
      <x:c r="B19" s="12" t="str">
        <x:v>KS-INJECTION-1000-LOT-202403</x:v>
      </x:c>
      <x:c r="C19" s="12" t="str">
        <x:v>工业塑料周转配件</x:v>
      </x:c>
      <x:c r="D19" s="13" t="n">
        <x:v>397485</x:v>
      </x:c>
      <x:c r="E19" s="13" t="n">
        <x:v>385560</x:v>
      </x:c>
      <x:c r="F19" s="13" t="n">
        <x:v>11925</x:v>
      </x:c>
      <x:c r="G19" s="13" t="n">
        <x:v>248686.25</x:v>
      </x:c>
      <x:c r="H19" s="13" t="n">
        <x:v>353600</x:v>
      </x:c>
      <x:c r="I19" s="13" t="n">
        <x:v>265200</x:v>
      </x:c>
      <x:c r="J19" s="12" t="str">
        <x:v>件</x:v>
      </x:c>
      <x:c r="K19" s="12" t="str">
        <x:v>计划口径；产能及耗用待现场验证</x:v>
      </x:c>
    </x:row>
    <x:row r="20" ht="38" customHeight="1">
      <x:c r="A20" s="12" t="str">
        <x:v>2024-04</x:v>
      </x:c>
      <x:c r="B20" s="12" t="str">
        <x:v>KS-INJECTION-1000-LOT-202404</x:v>
      </x:c>
      <x:c r="C20" s="12" t="str">
        <x:v>工业塑料周转配件</x:v>
      </x:c>
      <x:c r="D20" s="13" t="n">
        <x:v>413073</x:v>
      </x:c>
      <x:c r="E20" s="13" t="n">
        <x:v>400680</x:v>
      </x:c>
      <x:c r="F20" s="13" t="n">
        <x:v>12393</x:v>
      </x:c>
      <x:c r="G20" s="13" t="n">
        <x:v>258438.625</x:v>
      </x:c>
      <x:c r="H20" s="13" t="n">
        <x:v>367467</x:v>
      </x:c>
      <x:c r="I20" s="13" t="n">
        <x:v>275600</x:v>
      </x:c>
      <x:c r="J20" s="12" t="str">
        <x:v>件</x:v>
      </x:c>
      <x:c r="K20" s="12" t="str">
        <x:v>计划口径；产能及耗用待现场验证</x:v>
      </x:c>
    </x:row>
    <x:row r="21" ht="38" customHeight="1">
      <x:c r="A21" s="12" t="str">
        <x:v>2024-05</x:v>
      </x:c>
      <x:c r="B21" s="12" t="str">
        <x:v>KS-INJECTION-1000-LOT-202405</x:v>
      </x:c>
      <x:c r="C21" s="12" t="str">
        <x:v>工业塑料周转配件</x:v>
      </x:c>
      <x:c r="D21" s="13" t="n">
        <x:v>428660</x:v>
      </x:c>
      <x:c r="E21" s="13" t="n">
        <x:v>415800</x:v>
      </x:c>
      <x:c r="F21" s="13" t="n">
        <x:v>12860</x:v>
      </x:c>
      <x:c r="G21" s="13" t="n">
        <x:v>268191</x:v>
      </x:c>
      <x:c r="H21" s="13" t="n">
        <x:v>381333</x:v>
      </x:c>
      <x:c r="I21" s="13" t="n">
        <x:v>286000</x:v>
      </x:c>
      <x:c r="J21" s="12" t="str">
        <x:v>件</x:v>
      </x:c>
      <x:c r="K21" s="12" t="str">
        <x:v>计划口径；产能及耗用待现场验证</x:v>
      </x:c>
    </x:row>
    <x:row r="22" ht="38" customHeight="1">
      <x:c r="A22" s="12" t="str">
        <x:v>2024-06</x:v>
      </x:c>
      <x:c r="B22" s="12" t="str">
        <x:v>KS-INJECTION-1000-LOT-202406</x:v>
      </x:c>
      <x:c r="C22" s="12" t="str">
        <x:v>工业塑料周转配件</x:v>
      </x:c>
      <x:c r="D22" s="13" t="n">
        <x:v>409176</x:v>
      </x:c>
      <x:c r="E22" s="13" t="n">
        <x:v>396900</x:v>
      </x:c>
      <x:c r="F22" s="13" t="n">
        <x:v>12276</x:v>
      </x:c>
      <x:c r="G22" s="13" t="n">
        <x:v>256000.5</x:v>
      </x:c>
      <x:c r="H22" s="13" t="n">
        <x:v>364000</x:v>
      </x:c>
      <x:c r="I22" s="13" t="n">
        <x:v>273000</x:v>
      </x:c>
      <x:c r="J22" s="12" t="str">
        <x:v>件</x:v>
      </x:c>
      <x:c r="K22" s="12" t="str">
        <x:v>计划口径；产能及耗用待现场验证</x:v>
      </x:c>
    </x:row>
    <x:row r="23" ht="38" customHeight="1">
      <x:c r="A23" s="12" t="str">
        <x:v>2024-07</x:v>
      </x:c>
      <x:c r="B23" s="12" t="str">
        <x:v>KS-INJECTION-1000-LOT-202407</x:v>
      </x:c>
      <x:c r="C23" s="12" t="str">
        <x:v>工业塑料周转配件</x:v>
      </x:c>
      <x:c r="D23" s="13" t="n">
        <x:v>420866</x:v>
      </x:c>
      <x:c r="E23" s="13" t="n">
        <x:v>408240</x:v>
      </x:c>
      <x:c r="F23" s="13" t="n">
        <x:v>12626</x:v>
      </x:c>
      <x:c r="G23" s="13" t="n">
        <x:v>263314.75</x:v>
      </x:c>
      <x:c r="H23" s="13" t="n">
        <x:v>374400</x:v>
      </x:c>
      <x:c r="I23" s="13" t="n">
        <x:v>280800</x:v>
      </x:c>
      <x:c r="J23" s="12" t="str">
        <x:v>件</x:v>
      </x:c>
      <x:c r="K23" s="12" t="str">
        <x:v>计划口径；产能及耗用待现场验证</x:v>
      </x:c>
    </x:row>
    <x:row r="24" ht="38" customHeight="1">
      <x:c r="A24" s="12" t="str">
        <x:v>2024-08</x:v>
      </x:c>
      <x:c r="B24" s="12" t="str">
        <x:v>KS-INJECTION-1000-LOT-202408</x:v>
      </x:c>
      <x:c r="C24" s="12" t="str">
        <x:v>工业塑料周转配件</x:v>
      </x:c>
      <x:c r="D24" s="13" t="n">
        <x:v>420866</x:v>
      </x:c>
      <x:c r="E24" s="13" t="n">
        <x:v>408240</x:v>
      </x:c>
      <x:c r="F24" s="13" t="n">
        <x:v>12626</x:v>
      </x:c>
      <x:c r="G24" s="13" t="n">
        <x:v>263314.75</x:v>
      </x:c>
      <x:c r="H24" s="13" t="n">
        <x:v>374400</x:v>
      </x:c>
      <x:c r="I24" s="13" t="n">
        <x:v>280800</x:v>
      </x:c>
      <x:c r="J24" s="12" t="str">
        <x:v>件</x:v>
      </x:c>
      <x:c r="K24" s="12" t="str">
        <x:v>计划口径；产能及耗用待现场验证</x:v>
      </x:c>
    </x:row>
    <x:row r="25" ht="38" customHeight="1">
      <x:c r="A25" s="12" t="str">
        <x:v>2024-09</x:v>
      </x:c>
      <x:c r="B25" s="12" t="str">
        <x:v>KS-INJECTION-1000-LOT-202409</x:v>
      </x:c>
      <x:c r="C25" s="12" t="str">
        <x:v>工业塑料周转配件</x:v>
      </x:c>
      <x:c r="D25" s="13" t="n">
        <x:v>405279</x:v>
      </x:c>
      <x:c r="E25" s="13" t="n">
        <x:v>393120</x:v>
      </x:c>
      <x:c r="F25" s="13" t="n">
        <x:v>12159</x:v>
      </x:c>
      <x:c r="G25" s="13" t="n">
        <x:v>253562.375</x:v>
      </x:c>
      <x:c r="H25" s="13" t="n">
        <x:v>360533</x:v>
      </x:c>
      <x:c r="I25" s="13" t="n">
        <x:v>270400</x:v>
      </x:c>
      <x:c r="J25" s="12" t="str">
        <x:v>件</x:v>
      </x:c>
      <x:c r="K25" s="12" t="str">
        <x:v>计划口径；产能及耗用待现场验证</x:v>
      </x:c>
    </x:row>
    <x:row r="26" ht="38" customHeight="1">
      <x:c r="A26" s="12" t="str">
        <x:v>2024-10</x:v>
      </x:c>
      <x:c r="B26" s="12" t="str">
        <x:v>KS-INJECTION-1000-LOT-202410</x:v>
      </x:c>
      <x:c r="C26" s="12" t="str">
        <x:v>工业塑料周转配件</x:v>
      </x:c>
      <x:c r="D26" s="13" t="n">
        <x:v>397485</x:v>
      </x:c>
      <x:c r="E26" s="13" t="n">
        <x:v>385560</x:v>
      </x:c>
      <x:c r="F26" s="13" t="n">
        <x:v>11925</x:v>
      </x:c>
      <x:c r="G26" s="13" t="n">
        <x:v>248686.25</x:v>
      </x:c>
      <x:c r="H26" s="13" t="n">
        <x:v>353600</x:v>
      </x:c>
      <x:c r="I26" s="13" t="n">
        <x:v>265200</x:v>
      </x:c>
      <x:c r="J26" s="12" t="str">
        <x:v>件</x:v>
      </x:c>
      <x:c r="K26" s="12" t="str">
        <x:v>计划口径；产能及耗用待现场验证</x:v>
      </x:c>
    </x:row>
    <x:row r="27" ht="38" customHeight="1">
      <x:c r="A27" s="12" t="str">
        <x:v>2024-11</x:v>
      </x:c>
      <x:c r="B27" s="12" t="str">
        <x:v>KS-INJECTION-1000-LOT-202411</x:v>
      </x:c>
      <x:c r="C27" s="12" t="str">
        <x:v>工业塑料周转配件</x:v>
      </x:c>
      <x:c r="D27" s="13" t="n">
        <x:v>413073</x:v>
      </x:c>
      <x:c r="E27" s="13" t="n">
        <x:v>400680</x:v>
      </x:c>
      <x:c r="F27" s="13" t="n">
        <x:v>12393</x:v>
      </x:c>
      <x:c r="G27" s="13" t="n">
        <x:v>258438.625</x:v>
      </x:c>
      <x:c r="H27" s="13" t="n">
        <x:v>367467</x:v>
      </x:c>
      <x:c r="I27" s="13" t="n">
        <x:v>275600</x:v>
      </x:c>
      <x:c r="J27" s="12" t="str">
        <x:v>件</x:v>
      </x:c>
      <x:c r="K27" s="12" t="str">
        <x:v>计划口径；产能及耗用待现场验证</x:v>
      </x:c>
    </x:row>
    <x:row r="28" ht="38" customHeight="1">
      <x:c r="A28" s="12" t="str">
        <x:v>2024-12</x:v>
      </x:c>
      <x:c r="B28" s="12" t="str">
        <x:v>KS-INJECTION-1000-LOT-202412</x:v>
      </x:c>
      <x:c r="C28" s="12" t="str">
        <x:v>工业塑料周转配件</x:v>
      </x:c>
      <x:c r="D28" s="13" t="n">
        <x:v>428660</x:v>
      </x:c>
      <x:c r="E28" s="13" t="n">
        <x:v>415800</x:v>
      </x:c>
      <x:c r="F28" s="13" t="n">
        <x:v>12860</x:v>
      </x:c>
      <x:c r="G28" s="13" t="n">
        <x:v>268191</x:v>
      </x:c>
      <x:c r="H28" s="13" t="n">
        <x:v>381333</x:v>
      </x:c>
      <x:c r="I28" s="13" t="n">
        <x:v>286000</x:v>
      </x:c>
      <x:c r="J28" s="12" t="str">
        <x:v>件</x:v>
      </x:c>
      <x:c r="K28" s="12" t="str">
        <x:v>计划口径；产能及耗用待现场验证</x:v>
      </x:c>
    </x:row>
    <x:row r="29" ht="38" customHeight="1">
      <x:c r="A29" s="12" t="str">
        <x:v>2025-01</x:v>
      </x:c>
      <x:c r="B29" s="12" t="str">
        <x:v>KS-INJECTION-1000-LOT-202501</x:v>
      </x:c>
      <x:c r="C29" s="12" t="str">
        <x:v>工业塑料周转配件</x:v>
      </x:c>
      <x:c r="D29" s="13" t="n">
        <x:v>336693</x:v>
      </x:c>
      <x:c r="E29" s="13" t="n">
        <x:v>326592</x:v>
      </x:c>
      <x:c r="F29" s="13" t="n">
        <x:v>10101</x:v>
      </x:c>
      <x:c r="G29" s="13" t="n">
        <x:v>210651.875</x:v>
      </x:c>
      <x:c r="H29" s="13" t="n">
        <x:v>277333</x:v>
      </x:c>
      <x:c r="I29" s="13" t="n">
        <x:v>208000</x:v>
      </x:c>
      <x:c r="J29" s="12" t="str">
        <x:v>件</x:v>
      </x:c>
      <x:c r="K29" s="12" t="str">
        <x:v>计划口径；产能及耗用待现场验证</x:v>
      </x:c>
    </x:row>
    <x:row r="30" ht="38" customHeight="1">
      <x:c r="A30" s="12" t="str">
        <x:v>2025-02</x:v>
      </x:c>
      <x:c r="B30" s="12" t="str">
        <x:v>KS-INJECTION-1000-LOT-202502</x:v>
      </x:c>
      <x:c r="C30" s="12" t="str">
        <x:v>工业塑料周转配件</x:v>
      </x:c>
      <x:c r="D30" s="13" t="n">
        <x:v>303024</x:v>
      </x:c>
      <x:c r="E30" s="13" t="n">
        <x:v>293933</x:v>
      </x:c>
      <x:c r="F30" s="13" t="n">
        <x:v>9091</x:v>
      </x:c>
      <x:c r="G30" s="13" t="n">
        <x:v>189586.75</x:v>
      </x:c>
      <x:c r="H30" s="13" t="n">
        <x:v>249600</x:v>
      </x:c>
      <x:c r="I30" s="13" t="n">
        <x:v>187200</x:v>
      </x:c>
      <x:c r="J30" s="12" t="str">
        <x:v>件</x:v>
      </x:c>
      <x:c r="K30" s="12" t="str">
        <x:v>计划口径；产能及耗用待现场验证</x:v>
      </x:c>
    </x:row>
    <x:row r="31" ht="38" customHeight="1">
      <x:c r="A31" s="12" t="str">
        <x:v>2025-03</x:v>
      </x:c>
      <x:c r="B31" s="12" t="str">
        <x:v>KS-INJECTION-1000-LOT-202503</x:v>
      </x:c>
      <x:c r="C31" s="12" t="str">
        <x:v>工业塑料周转配件</x:v>
      </x:c>
      <x:c r="D31" s="13" t="n">
        <x:v>429284</x:v>
      </x:c>
      <x:c r="E31" s="13" t="n">
        <x:v>416405</x:v>
      </x:c>
      <x:c r="F31" s="13" t="n">
        <x:v>12879</x:v>
      </x:c>
      <x:c r="G31" s="13" t="n">
        <x:v>268581.25</x:v>
      </x:c>
      <x:c r="H31" s="13" t="n">
        <x:v>353600</x:v>
      </x:c>
      <x:c r="I31" s="13" t="n">
        <x:v>265200</x:v>
      </x:c>
      <x:c r="J31" s="12" t="str">
        <x:v>件</x:v>
      </x:c>
      <x:c r="K31" s="12" t="str">
        <x:v>计划口径；产能及耗用待现场验证</x:v>
      </x:c>
    </x:row>
    <x:row r="32" ht="38" customHeight="1">
      <x:c r="A32" s="12" t="str">
        <x:v>2025-04</x:v>
      </x:c>
      <x:c r="B32" s="12" t="str">
        <x:v>KS-INJECTION-1000-LOT-202504</x:v>
      </x:c>
      <x:c r="C32" s="12" t="str">
        <x:v>工业塑料周转配件</x:v>
      </x:c>
      <x:c r="D32" s="13" t="n">
        <x:v>446118</x:v>
      </x:c>
      <x:c r="E32" s="13" t="n">
        <x:v>432734</x:v>
      </x:c>
      <x:c r="F32" s="13" t="n">
        <x:v>13384</x:v>
      </x:c>
      <x:c r="G32" s="13" t="n">
        <x:v>279113.375</x:v>
      </x:c>
      <x:c r="H32" s="13" t="n">
        <x:v>367467</x:v>
      </x:c>
      <x:c r="I32" s="13" t="n">
        <x:v>275600</x:v>
      </x:c>
      <x:c r="J32" s="12" t="str">
        <x:v>件</x:v>
      </x:c>
      <x:c r="K32" s="12" t="str">
        <x:v>计划口径；产能及耗用待现场验证</x:v>
      </x:c>
    </x:row>
    <x:row r="33" ht="38" customHeight="1">
      <x:c r="A33" s="12" t="str">
        <x:v>2025-05</x:v>
      </x:c>
      <x:c r="B33" s="12" t="str">
        <x:v>KS-INJECTION-1000-LOT-202505</x:v>
      </x:c>
      <x:c r="C33" s="12" t="str">
        <x:v>工业塑料周转配件</x:v>
      </x:c>
      <x:c r="D33" s="13" t="n">
        <x:v>462953</x:v>
      </x:c>
      <x:c r="E33" s="13" t="n">
        <x:v>449064</x:v>
      </x:c>
      <x:c r="F33" s="13" t="n">
        <x:v>13889</x:v>
      </x:c>
      <x:c r="G33" s="13" t="n">
        <x:v>289646.25</x:v>
      </x:c>
      <x:c r="H33" s="13" t="n">
        <x:v>381333</x:v>
      </x:c>
      <x:c r="I33" s="13" t="n">
        <x:v>286000</x:v>
      </x:c>
      <x:c r="J33" s="12" t="str">
        <x:v>件</x:v>
      </x:c>
      <x:c r="K33" s="12" t="str">
        <x:v>计划口径；产能及耗用待现场验证</x:v>
      </x:c>
    </x:row>
    <x:row r="34" ht="38" customHeight="1">
      <x:c r="A34" s="12" t="str">
        <x:v>2025-06</x:v>
      </x:c>
      <x:c r="B34" s="12" t="str">
        <x:v>KS-INJECTION-1000-LOT-202506</x:v>
      </x:c>
      <x:c r="C34" s="12" t="str">
        <x:v>工业塑料周转配件</x:v>
      </x:c>
      <x:c r="D34" s="13" t="n">
        <x:v>441910</x:v>
      </x:c>
      <x:c r="E34" s="13" t="n">
        <x:v>428652</x:v>
      </x:c>
      <x:c r="F34" s="13" t="n">
        <x:v>13258</x:v>
      </x:c>
      <x:c r="G34" s="13" t="n">
        <x:v>276480.5</x:v>
      </x:c>
      <x:c r="H34" s="13" t="n">
        <x:v>364000</x:v>
      </x:c>
      <x:c r="I34" s="13" t="n">
        <x:v>273000</x:v>
      </x:c>
      <x:c r="J34" s="12" t="str">
        <x:v>件</x:v>
      </x:c>
      <x:c r="K34" s="12" t="str">
        <x:v>计划口径；产能及耗用待现场验证</x:v>
      </x:c>
    </x:row>
    <x:row r="35" ht="38" customHeight="1">
      <x:c r="A35" s="12" t="str">
        <x:v>2025-07</x:v>
      </x:c>
      <x:c r="B35" s="12" t="str">
        <x:v>KS-INJECTION-1000-LOT-202507</x:v>
      </x:c>
      <x:c r="C35" s="12" t="str">
        <x:v>工业塑料周转配件</x:v>
      </x:c>
      <x:c r="D35" s="13" t="n">
        <x:v>454536</x:v>
      </x:c>
      <x:c r="E35" s="13" t="n">
        <x:v>440899</x:v>
      </x:c>
      <x:c r="F35" s="13" t="n">
        <x:v>13637</x:v>
      </x:c>
      <x:c r="G35" s="13" t="n">
        <x:v>284379.875</x:v>
      </x:c>
      <x:c r="H35" s="13" t="n">
        <x:v>374400</x:v>
      </x:c>
      <x:c r="I35" s="13" t="n">
        <x:v>280800</x:v>
      </x:c>
      <x:c r="J35" s="12" t="str">
        <x:v>件</x:v>
      </x:c>
      <x:c r="K35" s="12" t="str">
        <x:v>计划口径；产能及耗用待现场验证</x:v>
      </x:c>
    </x:row>
    <x:row r="36" ht="38" customHeight="1">
      <x:c r="A36" s="12" t="str">
        <x:v>2025-08</x:v>
      </x:c>
      <x:c r="B36" s="12" t="str">
        <x:v>KS-INJECTION-1000-LOT-202508</x:v>
      </x:c>
      <x:c r="C36" s="12" t="str">
        <x:v>工业塑料周转配件</x:v>
      </x:c>
      <x:c r="D36" s="13" t="n">
        <x:v>454536</x:v>
      </x:c>
      <x:c r="E36" s="13" t="n">
        <x:v>440899</x:v>
      </x:c>
      <x:c r="F36" s="13" t="n">
        <x:v>13637</x:v>
      </x:c>
      <x:c r="G36" s="13" t="n">
        <x:v>284379.875</x:v>
      </x:c>
      <x:c r="H36" s="13" t="n">
        <x:v>374400</x:v>
      </x:c>
      <x:c r="I36" s="13" t="n">
        <x:v>280800</x:v>
      </x:c>
      <x:c r="J36" s="12" t="str">
        <x:v>件</x:v>
      </x:c>
      <x:c r="K36" s="12" t="str">
        <x:v>计划口径；产能及耗用待现场验证</x:v>
      </x:c>
    </x:row>
    <x:row r="37" ht="38" customHeight="1">
      <x:c r="A37" s="12" t="str">
        <x:v>2025-09</x:v>
      </x:c>
      <x:c r="B37" s="12" t="str">
        <x:v>KS-INJECTION-1000-LOT-202509</x:v>
      </x:c>
      <x:c r="C37" s="12" t="str">
        <x:v>工业塑料周转配件</x:v>
      </x:c>
      <x:c r="D37" s="13" t="n">
        <x:v>437702</x:v>
      </x:c>
      <x:c r="E37" s="13" t="n">
        <x:v>424570</x:v>
      </x:c>
      <x:c r="F37" s="13" t="n">
        <x:v>13132</x:v>
      </x:c>
      <x:c r="G37" s="13" t="n">
        <x:v>273847.625</x:v>
      </x:c>
      <x:c r="H37" s="13" t="n">
        <x:v>360533</x:v>
      </x:c>
      <x:c r="I37" s="13" t="n">
        <x:v>270400</x:v>
      </x:c>
      <x:c r="J37" s="12" t="str">
        <x:v>件</x:v>
      </x:c>
      <x:c r="K37" s="12" t="str">
        <x:v>计划口径；产能及耗用待现场验证</x:v>
      </x:c>
    </x:row>
    <x:row r="38" ht="38" customHeight="1">
      <x:c r="A38" s="12" t="str">
        <x:v>2025-10</x:v>
      </x:c>
      <x:c r="B38" s="12" t="str">
        <x:v>KS-INJECTION-1000-LOT-202510</x:v>
      </x:c>
      <x:c r="C38" s="12" t="str">
        <x:v>工业塑料周转配件</x:v>
      </x:c>
      <x:c r="D38" s="13" t="n">
        <x:v>429284</x:v>
      </x:c>
      <x:c r="E38" s="13" t="n">
        <x:v>416405</x:v>
      </x:c>
      <x:c r="F38" s="13" t="n">
        <x:v>12879</x:v>
      </x:c>
      <x:c r="G38" s="13" t="n">
        <x:v>268581.25</x:v>
      </x:c>
      <x:c r="H38" s="13" t="n">
        <x:v>353600</x:v>
      </x:c>
      <x:c r="I38" s="13" t="n">
        <x:v>265200</x:v>
      </x:c>
      <x:c r="J38" s="12" t="str">
        <x:v>件</x:v>
      </x:c>
      <x:c r="K38" s="12" t="str">
        <x:v>计划口径；产能及耗用待现场验证</x:v>
      </x:c>
    </x:row>
    <x:row r="39" ht="38" customHeight="1">
      <x:c r="A39" s="12" t="str">
        <x:v>2025-11</x:v>
      </x:c>
      <x:c r="B39" s="12" t="str">
        <x:v>KS-INJECTION-1000-LOT-202511</x:v>
      </x:c>
      <x:c r="C39" s="12" t="str">
        <x:v>工业塑料周转配件</x:v>
      </x:c>
      <x:c r="D39" s="13" t="n">
        <x:v>446118</x:v>
      </x:c>
      <x:c r="E39" s="13" t="n">
        <x:v>432734</x:v>
      </x:c>
      <x:c r="F39" s="13" t="n">
        <x:v>13384</x:v>
      </x:c>
      <x:c r="G39" s="13" t="n">
        <x:v>279113.375</x:v>
      </x:c>
      <x:c r="H39" s="13" t="n">
        <x:v>367467</x:v>
      </x:c>
      <x:c r="I39" s="13" t="n">
        <x:v>275600</x:v>
      </x:c>
      <x:c r="J39" s="12" t="str">
        <x:v>件</x:v>
      </x:c>
      <x:c r="K39" s="12" t="str">
        <x:v>计划口径；产能及耗用待现场验证</x:v>
      </x:c>
    </x:row>
    <x:row r="40" ht="38" customHeight="1">
      <x:c r="A40" s="12" t="str">
        <x:v>2025-12</x:v>
      </x:c>
      <x:c r="B40" s="12" t="str">
        <x:v>KS-INJECTION-1000-LOT-202512</x:v>
      </x:c>
      <x:c r="C40" s="12" t="str">
        <x:v>工业塑料周转配件</x:v>
      </x:c>
      <x:c r="D40" s="13" t="n">
        <x:v>462953</x:v>
      </x:c>
      <x:c r="E40" s="13" t="n">
        <x:v>449064</x:v>
      </x:c>
      <x:c r="F40" s="13" t="n">
        <x:v>13889</x:v>
      </x:c>
      <x:c r="G40" s="13" t="n">
        <x:v>289646.25</x:v>
      </x:c>
      <x:c r="H40" s="13" t="n">
        <x:v>381333</x:v>
      </x:c>
      <x:c r="I40" s="13" t="n">
        <x:v>286000</x:v>
      </x:c>
      <x:c r="J40" s="12" t="str">
        <x:v>件</x:v>
      </x:c>
      <x:c r="K40" s="12" t="str">
        <x:v>计划口径；产能及耗用待现场验证</x:v>
      </x:c>
    </x:row>
    <x:row r="41" ht="38" customHeight="1">
      <x:c r="A41" s="12" t="str">
        <x:v>2026-01</x:v>
      </x:c>
      <x:c r="B41" s="12" t="str">
        <x:v>KS-INJECTION-1000-LOT-202601</x:v>
      </x:c>
      <x:c r="C41" s="12" t="str">
        <x:v>工业塑料周转配件</x:v>
      </x:c>
      <x:c r="D41" s="13" t="n">
        <x:v>363628</x:v>
      </x:c>
      <x:c r="E41" s="13" t="n">
        <x:v>352719</x:v>
      </x:c>
      <x:c r="F41" s="13" t="n">
        <x:v>10909</x:v>
      </x:c>
      <x:c r="G41" s="13" t="n">
        <x:v>227503.75</x:v>
      </x:c>
      <x:c r="H41" s="13" t="n">
        <x:v>277333</x:v>
      </x:c>
      <x:c r="I41" s="13" t="n">
        <x:v>208000</x:v>
      </x:c>
      <x:c r="J41" s="12" t="str">
        <x:v>件</x:v>
      </x:c>
      <x:c r="K41" s="12" t="str">
        <x:v>计划口径；产能及耗用待现场验证</x:v>
      </x:c>
    </x:row>
    <x:row r="42" ht="38" customHeight="1">
      <x:c r="A42" s="12" t="str">
        <x:v>2026-02</x:v>
      </x:c>
      <x:c r="B42" s="12" t="str">
        <x:v>KS-INJECTION-1000-LOT-202602</x:v>
      </x:c>
      <x:c r="C42" s="12" t="str">
        <x:v>工业塑料周转配件</x:v>
      </x:c>
      <x:c r="D42" s="13" t="n">
        <x:v>327265</x:v>
      </x:c>
      <x:c r="E42" s="13" t="n">
        <x:v>317447</x:v>
      </x:c>
      <x:c r="F42" s="13" t="n">
        <x:v>9818</x:v>
      </x:c>
      <x:c r="G42" s="13" t="n">
        <x:v>204753.375</x:v>
      </x:c>
      <x:c r="H42" s="13" t="n">
        <x:v>249600</x:v>
      </x:c>
      <x:c r="I42" s="13" t="n">
        <x:v>187200</x:v>
      </x:c>
      <x:c r="J42" s="12" t="str">
        <x:v>件</x:v>
      </x:c>
      <x:c r="K42" s="12" t="str">
        <x:v>计划口径；产能及耗用待现场验证</x:v>
      </x:c>
    </x:row>
    <x:row r="43" ht="38" customHeight="1">
      <x:c r="A43" s="12" t="str">
        <x:v>2026-03</x:v>
      </x:c>
      <x:c r="B43" s="12" t="str">
        <x:v>KS-INJECTION-1000-LOT-202603</x:v>
      </x:c>
      <x:c r="C43" s="12" t="str">
        <x:v>工业塑料周转配件</x:v>
      </x:c>
      <x:c r="D43" s="13" t="n">
        <x:v>463626</x:v>
      </x:c>
      <x:c r="E43" s="13" t="n">
        <x:v>449717</x:v>
      </x:c>
      <x:c r="F43" s="13" t="n">
        <x:v>13909</x:v>
      </x:c>
      <x:c r="G43" s="13" t="n">
        <x:v>290067.5</x:v>
      </x:c>
      <x:c r="H43" s="13" t="n">
        <x:v>353600</x:v>
      </x:c>
      <x:c r="I43" s="13" t="n">
        <x:v>265200</x:v>
      </x:c>
      <x:c r="J43" s="12" t="str">
        <x:v>件</x:v>
      </x:c>
      <x:c r="K43" s="12" t="str">
        <x:v>计划口径；产能及耗用待现场验证</x:v>
      </x:c>
    </x:row>
    <x:row r="44" ht="38" customHeight="1">
      <x:c r="A44" s="12" t="str">
        <x:v>2026-04</x:v>
      </x:c>
      <x:c r="B44" s="12" t="str">
        <x:v>KS-INJECTION-1000-LOT-202604</x:v>
      </x:c>
      <x:c r="C44" s="12" t="str">
        <x:v>工业塑料周转配件</x:v>
      </x:c>
      <x:c r="D44" s="13" t="n">
        <x:v>481808</x:v>
      </x:c>
      <x:c r="E44" s="13" t="n">
        <x:v>467353</x:v>
      </x:c>
      <x:c r="F44" s="13" t="n">
        <x:v>14455</x:v>
      </x:c>
      <x:c r="G44" s="13" t="n">
        <x:v>301442.625</x:v>
      </x:c>
      <x:c r="H44" s="13" t="n">
        <x:v>367467</x:v>
      </x:c>
      <x:c r="I44" s="13" t="n">
        <x:v>275600</x:v>
      </x:c>
      <x:c r="J44" s="12" t="str">
        <x:v>件</x:v>
      </x:c>
      <x:c r="K44" s="12" t="str">
        <x:v>计划口径；产能及耗用待现场验证</x:v>
      </x:c>
    </x:row>
    <x:row r="45" ht="38" customHeight="1">
      <x:c r="A45" s="12" t="str">
        <x:v>2026-05</x:v>
      </x:c>
      <x:c r="B45" s="12" t="str">
        <x:v>KS-INJECTION-1000-LOT-202605</x:v>
      </x:c>
      <x:c r="C45" s="12" t="str">
        <x:v>工业塑料周转配件</x:v>
      </x:c>
      <x:c r="D45" s="13" t="n">
        <x:v>499989</x:v>
      </x:c>
      <x:c r="E45" s="13" t="n">
        <x:v>484989</x:v>
      </x:c>
      <x:c r="F45" s="13" t="n">
        <x:v>15000</x:v>
      </x:c>
      <x:c r="G45" s="13" t="n">
        <x:v>312817.875</x:v>
      </x:c>
      <x:c r="H45" s="13" t="n">
        <x:v>381333</x:v>
      </x:c>
      <x:c r="I45" s="13" t="n">
        <x:v>286000</x:v>
      </x:c>
      <x:c r="J45" s="12" t="str">
        <x:v>件</x:v>
      </x:c>
      <x:c r="K45" s="12" t="str">
        <x:v>计划口径；产能及耗用待现场验证</x:v>
      </x:c>
    </x:row>
    <x:row r="46" ht="38" customHeight="1">
      <x:c r="A46" s="12" t="str">
        <x:v>2026-06</x:v>
      </x:c>
      <x:c r="B46" s="12" t="str">
        <x:v>KS-INJECTION-1000-LOT-202606</x:v>
      </x:c>
      <x:c r="C46" s="12" t="str">
        <x:v>工业塑料周转配件</x:v>
      </x:c>
      <x:c r="D46" s="13" t="n">
        <x:v>477262</x:v>
      </x:c>
      <x:c r="E46" s="13" t="n">
        <x:v>462944</x:v>
      </x:c>
      <x:c r="F46" s="13" t="n">
        <x:v>14318</x:v>
      </x:c>
      <x:c r="G46" s="13" t="n">
        <x:v>298598.875</x:v>
      </x:c>
      <x:c r="H46" s="13" t="n">
        <x:v>364000</x:v>
      </x:c>
      <x:c r="I46" s="13" t="n">
        <x:v>273000</x:v>
      </x:c>
      <x:c r="J46" s="12" t="str">
        <x:v>件</x:v>
      </x:c>
      <x:c r="K46" s="12" t="str">
        <x:v>计划口径；产能及耗用待现场验证</x:v>
      </x:c>
    </x:row>
    <x:row r="47" ht="38" customHeight="1">
      <x:c r="A47" s="12" t="str">
        <x:v>2026-07</x:v>
      </x:c>
      <x:c r="B47" s="12" t="str">
        <x:v>KS-INJECTION-1000-LOT-202607</x:v>
      </x:c>
      <x:c r="C47" s="12" t="str">
        <x:v>工业塑料周转配件</x:v>
      </x:c>
      <x:c r="D47" s="13" t="n">
        <x:v>490898</x:v>
      </x:c>
      <x:c r="E47" s="13" t="n">
        <x:v>476171</x:v>
      </x:c>
      <x:c r="F47" s="13" t="n">
        <x:v>14727</x:v>
      </x:c>
      <x:c r="G47" s="13" t="n">
        <x:v>307130.25</x:v>
      </x:c>
      <x:c r="H47" s="13" t="n">
        <x:v>374400</x:v>
      </x:c>
      <x:c r="I47" s="13" t="n">
        <x:v>280800</x:v>
      </x:c>
      <x:c r="J47" s="12" t="str">
        <x:v>件</x:v>
      </x:c>
      <x:c r="K47" s="12" t="str">
        <x:v>计划口径；产能及耗用待现场验证</x:v>
      </x:c>
    </x:row>
    <x:row r="48" ht="38" customHeight="1">
      <x:c r="A48" s="12" t="str">
        <x:v>2026-08</x:v>
      </x:c>
      <x:c r="B48" s="12" t="str">
        <x:v>KS-INJECTION-1000-LOT-202608</x:v>
      </x:c>
      <x:c r="C48" s="12" t="str">
        <x:v>工业塑料周转配件</x:v>
      </x:c>
      <x:c r="D48" s="13" t="n">
        <x:v>490898</x:v>
      </x:c>
      <x:c r="E48" s="13" t="n">
        <x:v>476171</x:v>
      </x:c>
      <x:c r="F48" s="13" t="n">
        <x:v>14727</x:v>
      </x:c>
      <x:c r="G48" s="13" t="n">
        <x:v>307130.25</x:v>
      </x:c>
      <x:c r="H48" s="13" t="n">
        <x:v>374400</x:v>
      </x:c>
      <x:c r="I48" s="13" t="n">
        <x:v>280800</x:v>
      </x:c>
      <x:c r="J48" s="12" t="str">
        <x:v>件</x:v>
      </x:c>
      <x:c r="K48" s="12" t="str">
        <x:v>计划口径；产能及耗用待现场验证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6" hidden="0" customWidth="1"/>
  </x:cols>
  <x:sheetData>
    <x:row r="1" ht="30" customHeight="1">
      <x:c r="A1" s="9" t="str">
        <x:v>喀什示例塑料制品有限公司 · 税务台账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8" customHeight="1">
      <x:c r="A4" s="11" t="str">
        <x:v>月份</x:v>
      </x:c>
      <x:c r="B4" s="11" t="str">
        <x:v>销项计税额元</x:v>
      </x:c>
      <x:c r="C4" s="11" t="str">
        <x:v>销项税元</x:v>
      </x:c>
      <x:c r="D4" s="11" t="str">
        <x:v>进项计税额元</x:v>
      </x:c>
      <x:c r="E4" s="11" t="str">
        <x:v>进项税元</x:v>
      </x:c>
      <x:c r="F4" s="11" t="str">
        <x:v>增值税缴付元</x:v>
      </x:c>
      <x:c r="G4" s="11" t="str">
        <x:v>税前利润元</x:v>
      </x:c>
      <x:c r="H4" s="11" t="str">
        <x:v>所得税元</x:v>
      </x:c>
      <x:c r="I4" s="11" t="str">
        <x:v>模拟缴付日</x:v>
      </x:c>
      <x:c r="J4" s="11" t="str">
        <x:v>口径</x:v>
      </x:c>
    </x:row>
    <x:row r="5" ht="38" customHeight="1">
      <x:c r="A5" s="12" t="str">
        <x:v>2023-01</x:v>
      </x:c>
      <x:c r="B5" s="13" t="n">
        <x:v>3360000</x:v>
      </x:c>
      <x:c r="C5" s="13" t="n">
        <x:v>436800</x:v>
      </x:c>
      <x:c r="D5" s="13" t="n">
        <x:v>1444800</x:v>
      </x:c>
      <x:c r="E5" s="13" t="n">
        <x:v>187824</x:v>
      </x:c>
      <x:c r="F5" s="13" t="n">
        <x:v>248976</x:v>
      </x:c>
      <x:c r="G5" s="13" t="n">
        <x:v>662200</x:v>
      </x:c>
      <x:c r="H5" s="13" t="n">
        <x:v>165550</x:v>
      </x:c>
      <x:c r="I5" s="14" t="n">
        <x:v>44951</x:v>
      </x:c>
      <x:c r="J5" s="12" t="str">
        <x:v>当月收付简化；不代表正式税表</x:v>
      </x:c>
    </x:row>
    <x:row r="6" ht="38" customHeight="1">
      <x:c r="A6" s="12" t="str">
        <x:v>2023-02</x:v>
      </x:c>
      <x:c r="B6" s="13" t="n">
        <x:v>3024000</x:v>
      </x:c>
      <x:c r="C6" s="13" t="n">
        <x:v>393120</x:v>
      </x:c>
      <x:c r="D6" s="13" t="n">
        <x:v>1300320</x:v>
      </x:c>
      <x:c r="E6" s="13" t="n">
        <x:v>169042</x:v>
      </x:c>
      <x:c r="F6" s="13" t="n">
        <x:v>224078</x:v>
      </x:c>
      <x:c r="G6" s="13" t="n">
        <x:v>491480</x:v>
      </x:c>
      <x:c r="H6" s="13" t="n">
        <x:v>122870</x:v>
      </x:c>
      <x:c r="I6" s="14" t="n">
        <x:v>44982</x:v>
      </x:c>
      <x:c r="J6" s="12" t="str">
        <x:v>当月收付简化；不代表正式税表</x:v>
      </x:c>
    </x:row>
    <x:row r="7" ht="38" customHeight="1">
      <x:c r="A7" s="12" t="str">
        <x:v>2023-03</x:v>
      </x:c>
      <x:c r="B7" s="13" t="n">
        <x:v>4284000</x:v>
      </x:c>
      <x:c r="C7" s="13" t="n">
        <x:v>556920</x:v>
      </x:c>
      <x:c r="D7" s="13" t="n">
        <x:v>1842120</x:v>
      </x:c>
      <x:c r="E7" s="13" t="n">
        <x:v>239476</x:v>
      </x:c>
      <x:c r="F7" s="13" t="n">
        <x:v>317444</x:v>
      </x:c>
      <x:c r="G7" s="13" t="n">
        <x:v>1131680</x:v>
      </x:c>
      <x:c r="H7" s="13" t="n">
        <x:v>282920</x:v>
      </x:c>
      <x:c r="I7" s="14" t="n">
        <x:v>45010</x:v>
      </x:c>
      <x:c r="J7" s="12" t="str">
        <x:v>当月收付简化；不代表正式税表</x:v>
      </x:c>
    </x:row>
    <x:row r="8" ht="38" customHeight="1">
      <x:c r="A8" s="12" t="str">
        <x:v>2023-04</x:v>
      </x:c>
      <x:c r="B8" s="13" t="n">
        <x:v>4452000</x:v>
      </x:c>
      <x:c r="C8" s="13" t="n">
        <x:v>578760</x:v>
      </x:c>
      <x:c r="D8" s="13" t="n">
        <x:v>1914360</x:v>
      </x:c>
      <x:c r="E8" s="13" t="n">
        <x:v>248867</x:v>
      </x:c>
      <x:c r="F8" s="13" t="n">
        <x:v>329893</x:v>
      </x:c>
      <x:c r="G8" s="13" t="n">
        <x:v>1217040</x:v>
      </x:c>
      <x:c r="H8" s="13" t="n">
        <x:v>304260</x:v>
      </x:c>
      <x:c r="I8" s="14" t="n">
        <x:v>45041</x:v>
      </x:c>
      <x:c r="J8" s="12" t="str">
        <x:v>当月收付简化；不代表正式税表</x:v>
      </x:c>
    </x:row>
    <x:row r="9" ht="38" customHeight="1">
      <x:c r="A9" s="12" t="str">
        <x:v>2023-05</x:v>
      </x:c>
      <x:c r="B9" s="13" t="n">
        <x:v>4620000</x:v>
      </x:c>
      <x:c r="C9" s="13" t="n">
        <x:v>600600</x:v>
      </x:c>
      <x:c r="D9" s="13" t="n">
        <x:v>1986600</x:v>
      </x:c>
      <x:c r="E9" s="13" t="n">
        <x:v>258258</x:v>
      </x:c>
      <x:c r="F9" s="13" t="n">
        <x:v>342342</x:v>
      </x:c>
      <x:c r="G9" s="13" t="n">
        <x:v>1302400</x:v>
      </x:c>
      <x:c r="H9" s="13" t="n">
        <x:v>325600</x:v>
      </x:c>
      <x:c r="I9" s="14" t="n">
        <x:v>45071</x:v>
      </x:c>
      <x:c r="J9" s="12" t="str">
        <x:v>当月收付简化；不代表正式税表</x:v>
      </x:c>
    </x:row>
    <x:row r="10" ht="38" customHeight="1">
      <x:c r="A10" s="12" t="str">
        <x:v>2023-06</x:v>
      </x:c>
      <x:c r="B10" s="13" t="n">
        <x:v>4410000</x:v>
      </x:c>
      <x:c r="C10" s="13" t="n">
        <x:v>573300</x:v>
      </x:c>
      <x:c r="D10" s="13" t="n">
        <x:v>1896300</x:v>
      </x:c>
      <x:c r="E10" s="13" t="n">
        <x:v>246519</x:v>
      </x:c>
      <x:c r="F10" s="13" t="n">
        <x:v>326781</x:v>
      </x:c>
      <x:c r="G10" s="13" t="n">
        <x:v>1195700</x:v>
      </x:c>
      <x:c r="H10" s="13" t="n">
        <x:v>298925</x:v>
      </x:c>
      <x:c r="I10" s="14" t="n">
        <x:v>45102</x:v>
      </x:c>
      <x:c r="J10" s="12" t="str">
        <x:v>当月收付简化；不代表正式税表</x:v>
      </x:c>
    </x:row>
    <x:row r="11" ht="38" customHeight="1">
      <x:c r="A11" s="12" t="str">
        <x:v>2023-07</x:v>
      </x:c>
      <x:c r="B11" s="13" t="n">
        <x:v>4536000</x:v>
      </x:c>
      <x:c r="C11" s="13" t="n">
        <x:v>589680</x:v>
      </x:c>
      <x:c r="D11" s="13" t="n">
        <x:v>1950480</x:v>
      </x:c>
      <x:c r="E11" s="13" t="n">
        <x:v>253562</x:v>
      </x:c>
      <x:c r="F11" s="13" t="n">
        <x:v>336118</x:v>
      </x:c>
      <x:c r="G11" s="13" t="n">
        <x:v>1259720</x:v>
      </x:c>
      <x:c r="H11" s="13" t="n">
        <x:v>314930</x:v>
      </x:c>
      <x:c r="I11" s="14" t="n">
        <x:v>45132</x:v>
      </x:c>
      <x:c r="J11" s="12" t="str">
        <x:v>当月收付简化；不代表正式税表</x:v>
      </x:c>
    </x:row>
    <x:row r="12" ht="38" customHeight="1">
      <x:c r="A12" s="12" t="str">
        <x:v>2023-08</x:v>
      </x:c>
      <x:c r="B12" s="13" t="n">
        <x:v>4536000</x:v>
      </x:c>
      <x:c r="C12" s="13" t="n">
        <x:v>589680</x:v>
      </x:c>
      <x:c r="D12" s="13" t="n">
        <x:v>1950480</x:v>
      </x:c>
      <x:c r="E12" s="13" t="n">
        <x:v>253562</x:v>
      </x:c>
      <x:c r="F12" s="13" t="n">
        <x:v>336118</x:v>
      </x:c>
      <x:c r="G12" s="13" t="n">
        <x:v>1259720</x:v>
      </x:c>
      <x:c r="H12" s="13" t="n">
        <x:v>314930</x:v>
      </x:c>
      <x:c r="I12" s="14" t="n">
        <x:v>45163</x:v>
      </x:c>
      <x:c r="J12" s="12" t="str">
        <x:v>当月收付简化；不代表正式税表</x:v>
      </x:c>
    </x:row>
    <x:row r="13" ht="38" customHeight="1">
      <x:c r="A13" s="12" t="str">
        <x:v>2023-09</x:v>
      </x:c>
      <x:c r="B13" s="13" t="n">
        <x:v>4368000</x:v>
      </x:c>
      <x:c r="C13" s="13" t="n">
        <x:v>567840</x:v>
      </x:c>
      <x:c r="D13" s="13" t="n">
        <x:v>1878240</x:v>
      </x:c>
      <x:c r="E13" s="13" t="n">
        <x:v>244171</x:v>
      </x:c>
      <x:c r="F13" s="13" t="n">
        <x:v>323669</x:v>
      </x:c>
      <x:c r="G13" s="13" t="n">
        <x:v>1174360</x:v>
      </x:c>
      <x:c r="H13" s="13" t="n">
        <x:v>293590</x:v>
      </x:c>
      <x:c r="I13" s="14" t="n">
        <x:v>45194</x:v>
      </x:c>
      <x:c r="J13" s="12" t="str">
        <x:v>当月收付简化；不代表正式税表</x:v>
      </x:c>
    </x:row>
    <x:row r="14" ht="38" customHeight="1">
      <x:c r="A14" s="12" t="str">
        <x:v>2023-10</x:v>
      </x:c>
      <x:c r="B14" s="13" t="n">
        <x:v>4284000</x:v>
      </x:c>
      <x:c r="C14" s="13" t="n">
        <x:v>556920</x:v>
      </x:c>
      <x:c r="D14" s="13" t="n">
        <x:v>1842120</x:v>
      </x:c>
      <x:c r="E14" s="13" t="n">
        <x:v>239476</x:v>
      </x:c>
      <x:c r="F14" s="13" t="n">
        <x:v>317444</x:v>
      </x:c>
      <x:c r="G14" s="13" t="n">
        <x:v>1131680</x:v>
      </x:c>
      <x:c r="H14" s="13" t="n">
        <x:v>282920</x:v>
      </x:c>
      <x:c r="I14" s="14" t="n">
        <x:v>45224</x:v>
      </x:c>
      <x:c r="J14" s="12" t="str">
        <x:v>当月收付简化；不代表正式税表</x:v>
      </x:c>
    </x:row>
    <x:row r="15" ht="38" customHeight="1">
      <x:c r="A15" s="12" t="str">
        <x:v>2023-11</x:v>
      </x:c>
      <x:c r="B15" s="13" t="n">
        <x:v>4452000</x:v>
      </x:c>
      <x:c r="C15" s="13" t="n">
        <x:v>578760</x:v>
      </x:c>
      <x:c r="D15" s="13" t="n">
        <x:v>1914360</x:v>
      </x:c>
      <x:c r="E15" s="13" t="n">
        <x:v>248867</x:v>
      </x:c>
      <x:c r="F15" s="13" t="n">
        <x:v>329893</x:v>
      </x:c>
      <x:c r="G15" s="13" t="n">
        <x:v>1217040</x:v>
      </x:c>
      <x:c r="H15" s="13" t="n">
        <x:v>304260</x:v>
      </x:c>
      <x:c r="I15" s="14" t="n">
        <x:v>45255</x:v>
      </x:c>
      <x:c r="J15" s="12" t="str">
        <x:v>当月收付简化；不代表正式税表</x:v>
      </x:c>
    </x:row>
    <x:row r="16" ht="38" customHeight="1">
      <x:c r="A16" s="12" t="str">
        <x:v>2023-12</x:v>
      </x:c>
      <x:c r="B16" s="13" t="n">
        <x:v>4620000</x:v>
      </x:c>
      <x:c r="C16" s="13" t="n">
        <x:v>600600</x:v>
      </x:c>
      <x:c r="D16" s="13" t="n">
        <x:v>1986600</x:v>
      </x:c>
      <x:c r="E16" s="13" t="n">
        <x:v>258258</x:v>
      </x:c>
      <x:c r="F16" s="13" t="n">
        <x:v>342342</x:v>
      </x:c>
      <x:c r="G16" s="13" t="n">
        <x:v>1302400</x:v>
      </x:c>
      <x:c r="H16" s="13" t="n">
        <x:v>325600</x:v>
      </x:c>
      <x:c r="I16" s="14" t="n">
        <x:v>45285</x:v>
      </x:c>
      <x:c r="J16" s="12" t="str">
        <x:v>当月收付简化；不代表正式税表</x:v>
      </x:c>
    </x:row>
    <x:row r="17" ht="38" customHeight="1">
      <x:c r="A17" s="12" t="str">
        <x:v>2024-01</x:v>
      </x:c>
      <x:c r="B17" s="13" t="n">
        <x:v>3628800</x:v>
      </x:c>
      <x:c r="C17" s="13" t="n">
        <x:v>471744</x:v>
      </x:c>
      <x:c r="D17" s="13" t="n">
        <x:v>1560384</x:v>
      </x:c>
      <x:c r="E17" s="13" t="n">
        <x:v>202850</x:v>
      </x:c>
      <x:c r="F17" s="13" t="n">
        <x:v>268894</x:v>
      </x:c>
      <x:c r="G17" s="13" t="n">
        <x:v>815416</x:v>
      </x:c>
      <x:c r="H17" s="13" t="n">
        <x:v>203854</x:v>
      </x:c>
      <x:c r="I17" s="14" t="n">
        <x:v>45316</x:v>
      </x:c>
      <x:c r="J17" s="12" t="str">
        <x:v>当月收付简化；不代表正式税表</x:v>
      </x:c>
    </x:row>
    <x:row r="18" ht="38" customHeight="1">
      <x:c r="A18" s="12" t="str">
        <x:v>2024-02</x:v>
      </x:c>
      <x:c r="B18" s="13" t="n">
        <x:v>3265920</x:v>
      </x:c>
      <x:c r="C18" s="13" t="n">
        <x:v>424570</x:v>
      </x:c>
      <x:c r="D18" s="13" t="n">
        <x:v>1404346</x:v>
      </x:c>
      <x:c r="E18" s="13" t="n">
        <x:v>182565</x:v>
      </x:c>
      <x:c r="F18" s="13" t="n">
        <x:v>242005</x:v>
      </x:c>
      <x:c r="G18" s="13" t="n">
        <x:v>629374</x:v>
      </x:c>
      <x:c r="H18" s="13" t="n">
        <x:v>157344</x:v>
      </x:c>
      <x:c r="I18" s="14" t="n">
        <x:v>45347</x:v>
      </x:c>
      <x:c r="J18" s="12" t="str">
        <x:v>当月收付简化；不代表正式税表</x:v>
      </x:c>
    </x:row>
    <x:row r="19" ht="38" customHeight="1">
      <x:c r="A19" s="12" t="str">
        <x:v>2024-03</x:v>
      </x:c>
      <x:c r="B19" s="13" t="n">
        <x:v>4626720</x:v>
      </x:c>
      <x:c r="C19" s="13" t="n">
        <x:v>601474</x:v>
      </x:c>
      <x:c r="D19" s="13" t="n">
        <x:v>1989490</x:v>
      </x:c>
      <x:c r="E19" s="13" t="n">
        <x:v>258634</x:v>
      </x:c>
      <x:c r="F19" s="13" t="n">
        <x:v>342840</x:v>
      </x:c>
      <x:c r="G19" s="13" t="n">
        <x:v>1327030</x:v>
      </x:c>
      <x:c r="H19" s="13" t="n">
        <x:v>331758</x:v>
      </x:c>
      <x:c r="I19" s="14" t="n">
        <x:v>45376</x:v>
      </x:c>
      <x:c r="J19" s="12" t="str">
        <x:v>当月收付简化；不代表正式税表</x:v>
      </x:c>
    </x:row>
    <x:row r="20" ht="38" customHeight="1">
      <x:c r="A20" s="12" t="str">
        <x:v>2024-04</x:v>
      </x:c>
      <x:c r="B20" s="13" t="n">
        <x:v>4808160</x:v>
      </x:c>
      <x:c r="C20" s="13" t="n">
        <x:v>625061</x:v>
      </x:c>
      <x:c r="D20" s="13" t="n">
        <x:v>2067509</x:v>
      </x:c>
      <x:c r="E20" s="13" t="n">
        <x:v>268776</x:v>
      </x:c>
      <x:c r="F20" s="13" t="n">
        <x:v>356285</x:v>
      </x:c>
      <x:c r="G20" s="13" t="n">
        <x:v>1420051</x:v>
      </x:c>
      <x:c r="H20" s="13" t="n">
        <x:v>355013</x:v>
      </x:c>
      <x:c r="I20" s="14" t="n">
        <x:v>45407</x:v>
      </x:c>
      <x:c r="J20" s="12" t="str">
        <x:v>当月收付简化；不代表正式税表</x:v>
      </x:c>
    </x:row>
    <x:row r="21" ht="38" customHeight="1">
      <x:c r="A21" s="12" t="str">
        <x:v>2024-05</x:v>
      </x:c>
      <x:c r="B21" s="13" t="n">
        <x:v>4989600</x:v>
      </x:c>
      <x:c r="C21" s="13" t="n">
        <x:v>648648</x:v>
      </x:c>
      <x:c r="D21" s="13" t="n">
        <x:v>2145528</x:v>
      </x:c>
      <x:c r="E21" s="13" t="n">
        <x:v>278919</x:v>
      </x:c>
      <x:c r="F21" s="13" t="n">
        <x:v>369729</x:v>
      </x:c>
      <x:c r="G21" s="13" t="n">
        <x:v>1513072</x:v>
      </x:c>
      <x:c r="H21" s="13" t="n">
        <x:v>378268</x:v>
      </x:c>
      <x:c r="I21" s="14" t="n">
        <x:v>45437</x:v>
      </x:c>
      <x:c r="J21" s="12" t="str">
        <x:v>当月收付简化；不代表正式税表</x:v>
      </x:c>
    </x:row>
    <x:row r="22" ht="38" customHeight="1">
      <x:c r="A22" s="12" t="str">
        <x:v>2024-06</x:v>
      </x:c>
      <x:c r="B22" s="13" t="n">
        <x:v>4762800</x:v>
      </x:c>
      <x:c r="C22" s="13" t="n">
        <x:v>619164</x:v>
      </x:c>
      <x:c r="D22" s="13" t="n">
        <x:v>2048004</x:v>
      </x:c>
      <x:c r="E22" s="13" t="n">
        <x:v>266241</x:v>
      </x:c>
      <x:c r="F22" s="13" t="n">
        <x:v>352923</x:v>
      </x:c>
      <x:c r="G22" s="13" t="n">
        <x:v>1396796</x:v>
      </x:c>
      <x:c r="H22" s="13" t="n">
        <x:v>349199</x:v>
      </x:c>
      <x:c r="I22" s="14" t="n">
        <x:v>45468</x:v>
      </x:c>
      <x:c r="J22" s="12" t="str">
        <x:v>当月收付简化；不代表正式税表</x:v>
      </x:c>
    </x:row>
    <x:row r="23" ht="38" customHeight="1">
      <x:c r="A23" s="12" t="str">
        <x:v>2024-07</x:v>
      </x:c>
      <x:c r="B23" s="13" t="n">
        <x:v>4898880</x:v>
      </x:c>
      <x:c r="C23" s="13" t="n">
        <x:v>636854</x:v>
      </x:c>
      <x:c r="D23" s="13" t="n">
        <x:v>2106518</x:v>
      </x:c>
      <x:c r="E23" s="13" t="n">
        <x:v>273847</x:v>
      </x:c>
      <x:c r="F23" s="13" t="n">
        <x:v>363007</x:v>
      </x:c>
      <x:c r="G23" s="13" t="n">
        <x:v>1466562</x:v>
      </x:c>
      <x:c r="H23" s="13" t="n">
        <x:v>366640</x:v>
      </x:c>
      <x:c r="I23" s="14" t="n">
        <x:v>45498</x:v>
      </x:c>
      <x:c r="J23" s="12" t="str">
        <x:v>当月收付简化；不代表正式税表</x:v>
      </x:c>
    </x:row>
    <x:row r="24" ht="38" customHeight="1">
      <x:c r="A24" s="12" t="str">
        <x:v>2024-08</x:v>
      </x:c>
      <x:c r="B24" s="13" t="n">
        <x:v>4898880</x:v>
      </x:c>
      <x:c r="C24" s="13" t="n">
        <x:v>636854</x:v>
      </x:c>
      <x:c r="D24" s="13" t="n">
        <x:v>2106518</x:v>
      </x:c>
      <x:c r="E24" s="13" t="n">
        <x:v>273847</x:v>
      </x:c>
      <x:c r="F24" s="13" t="n">
        <x:v>363007</x:v>
      </x:c>
      <x:c r="G24" s="13" t="n">
        <x:v>1466562</x:v>
      </x:c>
      <x:c r="H24" s="13" t="n">
        <x:v>366640</x:v>
      </x:c>
      <x:c r="I24" s="14" t="n">
        <x:v>45529</x:v>
      </x:c>
      <x:c r="J24" s="12" t="str">
        <x:v>当月收付简化；不代表正式税表</x:v>
      </x:c>
    </x:row>
    <x:row r="25" ht="38" customHeight="1">
      <x:c r="A25" s="12" t="str">
        <x:v>2024-09</x:v>
      </x:c>
      <x:c r="B25" s="13" t="n">
        <x:v>4717440</x:v>
      </x:c>
      <x:c r="C25" s="13" t="n">
        <x:v>613267</x:v>
      </x:c>
      <x:c r="D25" s="13" t="n">
        <x:v>2028499</x:v>
      </x:c>
      <x:c r="E25" s="13" t="n">
        <x:v>263705</x:v>
      </x:c>
      <x:c r="F25" s="13" t="n">
        <x:v>349562</x:v>
      </x:c>
      <x:c r="G25" s="13" t="n">
        <x:v>1373541</x:v>
      </x:c>
      <x:c r="H25" s="13" t="n">
        <x:v>343385</x:v>
      </x:c>
      <x:c r="I25" s="14" t="n">
        <x:v>45560</x:v>
      </x:c>
      <x:c r="J25" s="12" t="str">
        <x:v>当月收付简化；不代表正式税表</x:v>
      </x:c>
    </x:row>
    <x:row r="26" ht="38" customHeight="1">
      <x:c r="A26" s="12" t="str">
        <x:v>2024-10</x:v>
      </x:c>
      <x:c r="B26" s="13" t="n">
        <x:v>4626720</x:v>
      </x:c>
      <x:c r="C26" s="13" t="n">
        <x:v>601474</x:v>
      </x:c>
      <x:c r="D26" s="13" t="n">
        <x:v>1989490</x:v>
      </x:c>
      <x:c r="E26" s="13" t="n">
        <x:v>258634</x:v>
      </x:c>
      <x:c r="F26" s="13" t="n">
        <x:v>342840</x:v>
      </x:c>
      <x:c r="G26" s="13" t="n">
        <x:v>1327030</x:v>
      </x:c>
      <x:c r="H26" s="13" t="n">
        <x:v>331758</x:v>
      </x:c>
      <x:c r="I26" s="14" t="n">
        <x:v>45590</x:v>
      </x:c>
      <x:c r="J26" s="12" t="str">
        <x:v>当月收付简化；不代表正式税表</x:v>
      </x:c>
    </x:row>
    <x:row r="27" ht="38" customHeight="1">
      <x:c r="A27" s="12" t="str">
        <x:v>2024-11</x:v>
      </x:c>
      <x:c r="B27" s="13" t="n">
        <x:v>4808160</x:v>
      </x:c>
      <x:c r="C27" s="13" t="n">
        <x:v>625061</x:v>
      </x:c>
      <x:c r="D27" s="13" t="n">
        <x:v>2067509</x:v>
      </x:c>
      <x:c r="E27" s="13" t="n">
        <x:v>268776</x:v>
      </x:c>
      <x:c r="F27" s="13" t="n">
        <x:v>356285</x:v>
      </x:c>
      <x:c r="G27" s="13" t="n">
        <x:v>1420051</x:v>
      </x:c>
      <x:c r="H27" s="13" t="n">
        <x:v>355013</x:v>
      </x:c>
      <x:c r="I27" s="14" t="n">
        <x:v>45621</x:v>
      </x:c>
      <x:c r="J27" s="12" t="str">
        <x:v>当月收付简化；不代表正式税表</x:v>
      </x:c>
    </x:row>
    <x:row r="28" ht="38" customHeight="1">
      <x:c r="A28" s="12" t="str">
        <x:v>2024-12</x:v>
      </x:c>
      <x:c r="B28" s="13" t="n">
        <x:v>4989600</x:v>
      </x:c>
      <x:c r="C28" s="13" t="n">
        <x:v>648648</x:v>
      </x:c>
      <x:c r="D28" s="13" t="n">
        <x:v>2145528</x:v>
      </x:c>
      <x:c r="E28" s="13" t="n">
        <x:v>278919</x:v>
      </x:c>
      <x:c r="F28" s="13" t="n">
        <x:v>369729</x:v>
      </x:c>
      <x:c r="G28" s="13" t="n">
        <x:v>1513072</x:v>
      </x:c>
      <x:c r="H28" s="13" t="n">
        <x:v>378268</x:v>
      </x:c>
      <x:c r="I28" s="14" t="n">
        <x:v>45651</x:v>
      </x:c>
      <x:c r="J28" s="12" t="str">
        <x:v>当月收付简化；不代表正式税表</x:v>
      </x:c>
    </x:row>
    <x:row r="29" ht="38" customHeight="1">
      <x:c r="A29" s="12" t="str">
        <x:v>2025-01</x:v>
      </x:c>
      <x:c r="B29" s="13" t="n">
        <x:v>3919104</x:v>
      </x:c>
      <x:c r="C29" s="13" t="n">
        <x:v>509484</x:v>
      </x:c>
      <x:c r="D29" s="13" t="n">
        <x:v>1685215</x:v>
      </x:c>
      <x:c r="E29" s="13" t="n">
        <x:v>219078</x:v>
      </x:c>
      <x:c r="F29" s="13" t="n">
        <x:v>290406</x:v>
      </x:c>
      <x:c r="G29" s="13" t="n">
        <x:v>980889</x:v>
      </x:c>
      <x:c r="H29" s="13" t="n">
        <x:v>245222</x:v>
      </x:c>
      <x:c r="I29" s="14" t="n">
        <x:v>45682</x:v>
      </x:c>
      <x:c r="J29" s="12" t="str">
        <x:v>当月收付简化；不代表正式税表</x:v>
      </x:c>
    </x:row>
    <x:row r="30" ht="38" customHeight="1">
      <x:c r="A30" s="12" t="str">
        <x:v>2025-02</x:v>
      </x:c>
      <x:c r="B30" s="13" t="n">
        <x:v>3527196</x:v>
      </x:c>
      <x:c r="C30" s="13" t="n">
        <x:v>458535</x:v>
      </x:c>
      <x:c r="D30" s="13" t="n">
        <x:v>1516694</x:v>
      </x:c>
      <x:c r="E30" s="13" t="n">
        <x:v>197170</x:v>
      </x:c>
      <x:c r="F30" s="13" t="n">
        <x:v>261365</x:v>
      </x:c>
      <x:c r="G30" s="13" t="n">
        <x:v>778302</x:v>
      </x:c>
      <x:c r="H30" s="13" t="n">
        <x:v>194576</x:v>
      </x:c>
      <x:c r="I30" s="14" t="n">
        <x:v>45713</x:v>
      </x:c>
      <x:c r="J30" s="12" t="str">
        <x:v>当月收付简化；不代表正式税表</x:v>
      </x:c>
    </x:row>
    <x:row r="31" ht="38" customHeight="1">
      <x:c r="A31" s="12" t="str">
        <x:v>2025-03</x:v>
      </x:c>
      <x:c r="B31" s="13" t="n">
        <x:v>4996860</x:v>
      </x:c>
      <x:c r="C31" s="13" t="n">
        <x:v>649592</x:v>
      </x:c>
      <x:c r="D31" s="13" t="n">
        <x:v>2148650</x:v>
      </x:c>
      <x:c r="E31" s="13" t="n">
        <x:v>279324</x:v>
      </x:c>
      <x:c r="F31" s="13" t="n">
        <x:v>370268</x:v>
      </x:c>
      <x:c r="G31" s="13" t="n">
        <x:v>1538010</x:v>
      </x:c>
      <x:c r="H31" s="13" t="n">
        <x:v>384502</x:v>
      </x:c>
      <x:c r="I31" s="14" t="n">
        <x:v>45741</x:v>
      </x:c>
      <x:c r="J31" s="12" t="str">
        <x:v>当月收付简化；不代表正式税表</x:v>
      </x:c>
    </x:row>
    <x:row r="32" ht="38" customHeight="1">
      <x:c r="A32" s="12" t="str">
        <x:v>2025-04</x:v>
      </x:c>
      <x:c r="B32" s="13" t="n">
        <x:v>5192808</x:v>
      </x:c>
      <x:c r="C32" s="13" t="n">
        <x:v>675065</x:v>
      </x:c>
      <x:c r="D32" s="13" t="n">
        <x:v>2232907</x:v>
      </x:c>
      <x:c r="E32" s="13" t="n">
        <x:v>290278</x:v>
      </x:c>
      <x:c r="F32" s="13" t="n">
        <x:v>384787</x:v>
      </x:c>
      <x:c r="G32" s="13" t="n">
        <x:v>1639301</x:v>
      </x:c>
      <x:c r="H32" s="13" t="n">
        <x:v>409825</x:v>
      </x:c>
      <x:c r="I32" s="14" t="n">
        <x:v>45772</x:v>
      </x:c>
      <x:c r="J32" s="12" t="str">
        <x:v>当月收付简化；不代表正式税表</x:v>
      </x:c>
    </x:row>
    <x:row r="33" ht="38" customHeight="1">
      <x:c r="A33" s="12" t="str">
        <x:v>2025-05</x:v>
      </x:c>
      <x:c r="B33" s="13" t="n">
        <x:v>5388768</x:v>
      </x:c>
      <x:c r="C33" s="13" t="n">
        <x:v>700540</x:v>
      </x:c>
      <x:c r="D33" s="13" t="n">
        <x:v>2317170</x:v>
      </x:c>
      <x:c r="E33" s="13" t="n">
        <x:v>301232</x:v>
      </x:c>
      <x:c r="F33" s="13" t="n">
        <x:v>399308</x:v>
      </x:c>
      <x:c r="G33" s="13" t="n">
        <x:v>1740598</x:v>
      </x:c>
      <x:c r="H33" s="13" t="n">
        <x:v>435150</x:v>
      </x:c>
      <x:c r="I33" s="14" t="n">
        <x:v>45802</x:v>
      </x:c>
      <x:c r="J33" s="12" t="str">
        <x:v>当月收付简化；不代表正式税表</x:v>
      </x:c>
    </x:row>
    <x:row r="34" ht="38" customHeight="1">
      <x:c r="A34" s="12" t="str">
        <x:v>2025-06</x:v>
      </x:c>
      <x:c r="B34" s="13" t="n">
        <x:v>5143824</x:v>
      </x:c>
      <x:c r="C34" s="13" t="n">
        <x:v>668697</x:v>
      </x:c>
      <x:c r="D34" s="13" t="n">
        <x:v>2211844</x:v>
      </x:c>
      <x:c r="E34" s="13" t="n">
        <x:v>287540</x:v>
      </x:c>
      <x:c r="F34" s="13" t="n">
        <x:v>381157</x:v>
      </x:c>
      <x:c r="G34" s="13" t="n">
        <x:v>1613980</x:v>
      </x:c>
      <x:c r="H34" s="13" t="n">
        <x:v>403495</x:v>
      </x:c>
      <x:c r="I34" s="14" t="n">
        <x:v>45833</x:v>
      </x:c>
      <x:c r="J34" s="12" t="str">
        <x:v>当月收付简化；不代表正式税表</x:v>
      </x:c>
    </x:row>
    <x:row r="35" ht="38" customHeight="1">
      <x:c r="A35" s="12" t="str">
        <x:v>2025-07</x:v>
      </x:c>
      <x:c r="B35" s="13" t="n">
        <x:v>5290788</x:v>
      </x:c>
      <x:c r="C35" s="13" t="n">
        <x:v>687802</x:v>
      </x:c>
      <x:c r="D35" s="13" t="n">
        <x:v>2275039</x:v>
      </x:c>
      <x:c r="E35" s="13" t="n">
        <x:v>295755</x:v>
      </x:c>
      <x:c r="F35" s="13" t="n">
        <x:v>392047</x:v>
      </x:c>
      <x:c r="G35" s="13" t="n">
        <x:v>1689949</x:v>
      </x:c>
      <x:c r="H35" s="13" t="n">
        <x:v>422487</x:v>
      </x:c>
      <x:c r="I35" s="14" t="n">
        <x:v>45863</x:v>
      </x:c>
      <x:c r="J35" s="12" t="str">
        <x:v>当月收付简化；不代表正式税表</x:v>
      </x:c>
    </x:row>
    <x:row r="36" ht="38" customHeight="1">
      <x:c r="A36" s="12" t="str">
        <x:v>2025-08</x:v>
      </x:c>
      <x:c r="B36" s="13" t="n">
        <x:v>5290788</x:v>
      </x:c>
      <x:c r="C36" s="13" t="n">
        <x:v>687802</x:v>
      </x:c>
      <x:c r="D36" s="13" t="n">
        <x:v>2275039</x:v>
      </x:c>
      <x:c r="E36" s="13" t="n">
        <x:v>295755</x:v>
      </x:c>
      <x:c r="F36" s="13" t="n">
        <x:v>392047</x:v>
      </x:c>
      <x:c r="G36" s="13" t="n">
        <x:v>1689949</x:v>
      </x:c>
      <x:c r="H36" s="13" t="n">
        <x:v>422487</x:v>
      </x:c>
      <x:c r="I36" s="14" t="n">
        <x:v>45894</x:v>
      </x:c>
      <x:c r="J36" s="12" t="str">
        <x:v>当月收付简化；不代表正式税表</x:v>
      </x:c>
    </x:row>
    <x:row r="37" ht="38" customHeight="1">
      <x:c r="A37" s="12" t="str">
        <x:v>2025-09</x:v>
      </x:c>
      <x:c r="B37" s="13" t="n">
        <x:v>5094840</x:v>
      </x:c>
      <x:c r="C37" s="13" t="n">
        <x:v>662329</x:v>
      </x:c>
      <x:c r="D37" s="13" t="n">
        <x:v>2190781</x:v>
      </x:c>
      <x:c r="E37" s="13" t="n">
        <x:v>284802</x:v>
      </x:c>
      <x:c r="F37" s="13" t="n">
        <x:v>377527</x:v>
      </x:c>
      <x:c r="G37" s="13" t="n">
        <x:v>1588659</x:v>
      </x:c>
      <x:c r="H37" s="13" t="n">
        <x:v>397165</x:v>
      </x:c>
      <x:c r="I37" s="14" t="n">
        <x:v>45925</x:v>
      </x:c>
      <x:c r="J37" s="12" t="str">
        <x:v>当月收付简化；不代表正式税表</x:v>
      </x:c>
    </x:row>
    <x:row r="38" ht="38" customHeight="1">
      <x:c r="A38" s="12" t="str">
        <x:v>2025-10</x:v>
      </x:c>
      <x:c r="B38" s="13" t="n">
        <x:v>4996860</x:v>
      </x:c>
      <x:c r="C38" s="13" t="n">
        <x:v>649592</x:v>
      </x:c>
      <x:c r="D38" s="13" t="n">
        <x:v>2148650</x:v>
      </x:c>
      <x:c r="E38" s="13" t="n">
        <x:v>279324</x:v>
      </x:c>
      <x:c r="F38" s="13" t="n">
        <x:v>370268</x:v>
      </x:c>
      <x:c r="G38" s="13" t="n">
        <x:v>1538010</x:v>
      </x:c>
      <x:c r="H38" s="13" t="n">
        <x:v>384502</x:v>
      </x:c>
      <x:c r="I38" s="14" t="n">
        <x:v>45955</x:v>
      </x:c>
      <x:c r="J38" s="12" t="str">
        <x:v>当月收付简化；不代表正式税表</x:v>
      </x:c>
    </x:row>
    <x:row r="39" ht="38" customHeight="1">
      <x:c r="A39" s="12" t="str">
        <x:v>2025-11</x:v>
      </x:c>
      <x:c r="B39" s="13" t="n">
        <x:v>5192808</x:v>
      </x:c>
      <x:c r="C39" s="13" t="n">
        <x:v>675065</x:v>
      </x:c>
      <x:c r="D39" s="13" t="n">
        <x:v>2232907</x:v>
      </x:c>
      <x:c r="E39" s="13" t="n">
        <x:v>290278</x:v>
      </x:c>
      <x:c r="F39" s="13" t="n">
        <x:v>384787</x:v>
      </x:c>
      <x:c r="G39" s="13" t="n">
        <x:v>1639301</x:v>
      </x:c>
      <x:c r="H39" s="13" t="n">
        <x:v>409825</x:v>
      </x:c>
      <x:c r="I39" s="14" t="n">
        <x:v>45986</x:v>
      </x:c>
      <x:c r="J39" s="12" t="str">
        <x:v>当月收付简化；不代表正式税表</x:v>
      </x:c>
    </x:row>
    <x:row r="40" ht="38" customHeight="1">
      <x:c r="A40" s="12" t="str">
        <x:v>2025-12</x:v>
      </x:c>
      <x:c r="B40" s="13" t="n">
        <x:v>5388768</x:v>
      </x:c>
      <x:c r="C40" s="13" t="n">
        <x:v>700540</x:v>
      </x:c>
      <x:c r="D40" s="13" t="n">
        <x:v>2317170</x:v>
      </x:c>
      <x:c r="E40" s="13" t="n">
        <x:v>301232</x:v>
      </x:c>
      <x:c r="F40" s="13" t="n">
        <x:v>399308</x:v>
      </x:c>
      <x:c r="G40" s="13" t="n">
        <x:v>1740598</x:v>
      </x:c>
      <x:c r="H40" s="13" t="n">
        <x:v>435150</x:v>
      </x:c>
      <x:c r="I40" s="14" t="n">
        <x:v>46016</x:v>
      </x:c>
      <x:c r="J40" s="12" t="str">
        <x:v>当月收付简化；不代表正式税表</x:v>
      </x:c>
    </x:row>
    <x:row r="41" ht="38" customHeight="1">
      <x:c r="A41" s="12" t="str">
        <x:v>2026-01</x:v>
      </x:c>
      <x:c r="B41" s="13" t="n">
        <x:v>4232628</x:v>
      </x:c>
      <x:c r="C41" s="13" t="n">
        <x:v>550242</x:v>
      </x:c>
      <x:c r="D41" s="13" t="n">
        <x:v>1820030</x:v>
      </x:c>
      <x:c r="E41" s="13" t="n">
        <x:v>236604</x:v>
      </x:c>
      <x:c r="F41" s="13" t="n">
        <x:v>313638</x:v>
      </x:c>
      <x:c r="G41" s="13" t="n">
        <x:v>1159598</x:v>
      </x:c>
      <x:c r="H41" s="13" t="n">
        <x:v>289900</x:v>
      </x:c>
      <x:c r="I41" s="14" t="n">
        <x:v>46047</x:v>
      </x:c>
      <x:c r="J41" s="12" t="str">
        <x:v>当月收付简化；不代表正式税表</x:v>
      </x:c>
    </x:row>
    <x:row r="42" ht="38" customHeight="1">
      <x:c r="A42" s="12" t="str">
        <x:v>2026-02</x:v>
      </x:c>
      <x:c r="B42" s="13" t="n">
        <x:v>3809364</x:v>
      </x:c>
      <x:c r="C42" s="13" t="n">
        <x:v>495217</x:v>
      </x:c>
      <x:c r="D42" s="13" t="n">
        <x:v>1638027</x:v>
      </x:c>
      <x:c r="E42" s="13" t="n">
        <x:v>212944</x:v>
      </x:c>
      <x:c r="F42" s="13" t="n">
        <x:v>282273</x:v>
      </x:c>
      <x:c r="G42" s="13" t="n">
        <x:v>939137</x:v>
      </x:c>
      <x:c r="H42" s="13" t="n">
        <x:v>234784</x:v>
      </x:c>
      <x:c r="I42" s="14" t="n">
        <x:v>46078</x:v>
      </x:c>
      <x:c r="J42" s="12" t="str">
        <x:v>当月收付简化；不代表正式税表</x:v>
      </x:c>
    </x:row>
    <x:row r="43" ht="38" customHeight="1">
      <x:c r="A43" s="12" t="str">
        <x:v>2026-03</x:v>
      </x:c>
      <x:c r="B43" s="13" t="n">
        <x:v>5396604</x:v>
      </x:c>
      <x:c r="C43" s="13" t="n">
        <x:v>701559</x:v>
      </x:c>
      <x:c r="D43" s="13" t="n">
        <x:v>2320540</x:v>
      </x:c>
      <x:c r="E43" s="13" t="n">
        <x:v>301670</x:v>
      </x:c>
      <x:c r="F43" s="13" t="n">
        <x:v>399889</x:v>
      </x:c>
      <x:c r="G43" s="13" t="n">
        <x:v>1765864</x:v>
      </x:c>
      <x:c r="H43" s="13" t="n">
        <x:v>441466</x:v>
      </x:c>
      <x:c r="I43" s="14" t="n">
        <x:v>46106</x:v>
      </x:c>
      <x:c r="J43" s="12" t="str">
        <x:v>当月收付简化；不代表正式税表</x:v>
      </x:c>
    </x:row>
    <x:row r="44" ht="38" customHeight="1">
      <x:c r="A44" s="12" t="str">
        <x:v>2026-04</x:v>
      </x:c>
      <x:c r="B44" s="13" t="n">
        <x:v>5608236</x:v>
      </x:c>
      <x:c r="C44" s="13" t="n">
        <x:v>729071</x:v>
      </x:c>
      <x:c r="D44" s="13" t="n">
        <x:v>2411541</x:v>
      </x:c>
      <x:c r="E44" s="13" t="n">
        <x:v>313500</x:v>
      </x:c>
      <x:c r="F44" s="13" t="n">
        <x:v>415571</x:v>
      </x:c>
      <x:c r="G44" s="13" t="n">
        <x:v>1876095</x:v>
      </x:c>
      <x:c r="H44" s="13" t="n">
        <x:v>469024</x:v>
      </x:c>
      <x:c r="I44" s="14" t="n">
        <x:v>46137</x:v>
      </x:c>
      <x:c r="J44" s="12" t="str">
        <x:v>当月收付简化；不代表正式税表</x:v>
      </x:c>
    </x:row>
    <x:row r="45" ht="38" customHeight="1">
      <x:c r="A45" s="12" t="str">
        <x:v>2026-05</x:v>
      </x:c>
      <x:c r="B45" s="13" t="n">
        <x:v>5819868</x:v>
      </x:c>
      <x:c r="C45" s="13" t="n">
        <x:v>756583</x:v>
      </x:c>
      <x:c r="D45" s="13" t="n">
        <x:v>2502543</x:v>
      </x:c>
      <x:c r="E45" s="13" t="n">
        <x:v>325331</x:v>
      </x:c>
      <x:c r="F45" s="13" t="n">
        <x:v>431252</x:v>
      </x:c>
      <x:c r="G45" s="13" t="n">
        <x:v>1986325</x:v>
      </x:c>
      <x:c r="H45" s="13" t="n">
        <x:v>496581</x:v>
      </x:c>
      <x:c r="I45" s="14" t="n">
        <x:v>46167</x:v>
      </x:c>
      <x:c r="J45" s="12" t="str">
        <x:v>当月收付简化；不代表正式税表</x:v>
      </x:c>
    </x:row>
    <x:row r="46" ht="38" customHeight="1">
      <x:c r="A46" s="12" t="str">
        <x:v>2026-06</x:v>
      </x:c>
      <x:c r="B46" s="13" t="n">
        <x:v>5555328</x:v>
      </x:c>
      <x:c r="C46" s="13" t="n">
        <x:v>722193</x:v>
      </x:c>
      <x:c r="D46" s="13" t="n">
        <x:v>2388791</x:v>
      </x:c>
      <x:c r="E46" s="13" t="n">
        <x:v>310543</x:v>
      </x:c>
      <x:c r="F46" s="13" t="n">
        <x:v>411650</x:v>
      </x:c>
      <x:c r="G46" s="13" t="n">
        <x:v>1848537</x:v>
      </x:c>
      <x:c r="H46" s="13" t="n">
        <x:v>462134</x:v>
      </x:c>
      <x:c r="I46" s="14" t="n">
        <x:v>46198</x:v>
      </x:c>
      <x:c r="J46" s="12" t="str">
        <x:v>当月收付简化；不代表正式税表</x:v>
      </x:c>
    </x:row>
    <x:row r="47" ht="38" customHeight="1">
      <x:c r="A47" s="12" t="str">
        <x:v>2026-07</x:v>
      </x:c>
      <x:c r="B47" s="13" t="n">
        <x:v>5714052</x:v>
      </x:c>
      <x:c r="C47" s="13" t="n">
        <x:v>742827</x:v>
      </x:c>
      <x:c r="D47" s="13" t="n">
        <x:v>2457042</x:v>
      </x:c>
      <x:c r="E47" s="13" t="n">
        <x:v>319415</x:v>
      </x:c>
      <x:c r="F47" s="13" t="n">
        <x:v>423412</x:v>
      </x:c>
      <x:c r="G47" s="13" t="n">
        <x:v>1931210</x:v>
      </x:c>
      <x:c r="H47" s="13" t="n">
        <x:v>482802</x:v>
      </x:c>
      <x:c r="I47" s="14" t="n">
        <x:v>46228</x:v>
      </x:c>
      <x:c r="J47" s="12" t="str">
        <x:v>当月收付简化；不代表正式税表</x:v>
      </x:c>
    </x:row>
    <x:row r="48" ht="38" customHeight="1">
      <x:c r="A48" s="12" t="str">
        <x:v>2026-08</x:v>
      </x:c>
      <x:c r="B48" s="13" t="n">
        <x:v>5714052</x:v>
      </x:c>
      <x:c r="C48" s="13" t="n">
        <x:v>742827</x:v>
      </x:c>
      <x:c r="D48" s="13" t="n">
        <x:v>2457042</x:v>
      </x:c>
      <x:c r="E48" s="13" t="n">
        <x:v>319415</x:v>
      </x:c>
      <x:c r="F48" s="13" t="n">
        <x:v>423412</x:v>
      </x:c>
      <x:c r="G48" s="13" t="n">
        <x:v>1931210</x:v>
      </x:c>
      <x:c r="H48" s="13" t="n">
        <x:v>482802</x:v>
      </x:c>
      <x:c r="I48" s="14" t="n">
        <x:v>46259</x:v>
      </x:c>
      <x:c r="J48" s="12" t="str">
        <x:v>当月收付简化；不代表正式税表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46" hidden="0" customWidth="1"/>
    <x:col min="6" max="6" width="46" hidden="0" customWidth="1"/>
  </x:cols>
  <x:sheetData>
    <x:row r="1" ht="30" customHeight="1">
      <x:c r="A1" s="9" t="str">
        <x:v>喀什示例塑料制品有限公司 · 人员工资</x:v>
      </x:c>
      <x:c r="B1" s="9"/>
      <x:c r="C1" s="9"/>
      <x:c r="D1" s="9"/>
      <x:c r="E1" s="9"/>
      <x:c r="F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38" customHeight="1">
      <x:c r="A4" s="11" t="str">
        <x:v>月份</x:v>
      </x:c>
      <x:c r="B4" s="11" t="str">
        <x:v>人数</x:v>
      </x:c>
      <x:c r="C4" s="11" t="str">
        <x:v>人工费用元</x:v>
      </x:c>
      <x:c r="D4" s="11" t="str">
        <x:v>平均人工元</x:v>
      </x:c>
      <x:c r="E4" s="11" t="str">
        <x:v>代发关联单</x:v>
      </x:c>
      <x:c r="F4" s="11" t="str">
        <x:v>口径</x:v>
      </x:c>
    </x:row>
    <x:row r="5" ht="38" customHeight="1">
      <x:c r="A5" s="12" t="str">
        <x:v>2023-01</x:v>
      </x:c>
      <x:c r="B5" s="13" t="n">
        <x:v>80</x:v>
      </x:c>
      <x:c r="C5" s="13" t="n">
        <x:v>520000</x:v>
      </x:c>
      <x:c r="D5" s="13" t="n">
        <x:v>6500</x:v>
      </x:c>
      <x:c r="E5" s="12" t="str">
        <x:v>KS-INJECTION-1000-PAY-202301</x:v>
      </x:c>
      <x:c r="F5" s="12" t="str">
        <x:v>汇总模拟；工资社保均计入人工费用</x:v>
      </x:c>
    </x:row>
    <x:row r="6" ht="38" customHeight="1">
      <x:c r="A6" s="12" t="str">
        <x:v>2023-02</x:v>
      </x:c>
      <x:c r="B6" s="13" t="n">
        <x:v>80</x:v>
      </x:c>
      <x:c r="C6" s="13" t="n">
        <x:v>520000</x:v>
      </x:c>
      <x:c r="D6" s="13" t="n">
        <x:v>6500</x:v>
      </x:c>
      <x:c r="E6" s="12" t="str">
        <x:v>KS-INJECTION-1000-PAY-202302</x:v>
      </x:c>
      <x:c r="F6" s="12" t="str">
        <x:v>汇总模拟；工资社保均计入人工费用</x:v>
      </x:c>
    </x:row>
    <x:row r="7" ht="38" customHeight="1">
      <x:c r="A7" s="12" t="str">
        <x:v>2023-03</x:v>
      </x:c>
      <x:c r="B7" s="13" t="n">
        <x:v>80</x:v>
      </x:c>
      <x:c r="C7" s="13" t="n">
        <x:v>520000</x:v>
      </x:c>
      <x:c r="D7" s="13" t="n">
        <x:v>6500</x:v>
      </x:c>
      <x:c r="E7" s="12" t="str">
        <x:v>KS-INJECTION-1000-PAY-202303</x:v>
      </x:c>
      <x:c r="F7" s="12" t="str">
        <x:v>汇总模拟；工资社保均计入人工费用</x:v>
      </x:c>
    </x:row>
    <x:row r="8" ht="38" customHeight="1">
      <x:c r="A8" s="12" t="str">
        <x:v>2023-04</x:v>
      </x:c>
      <x:c r="B8" s="13" t="n">
        <x:v>80</x:v>
      </x:c>
      <x:c r="C8" s="13" t="n">
        <x:v>520000</x:v>
      </x:c>
      <x:c r="D8" s="13" t="n">
        <x:v>6500</x:v>
      </x:c>
      <x:c r="E8" s="12" t="str">
        <x:v>KS-INJECTION-1000-PAY-202304</x:v>
      </x:c>
      <x:c r="F8" s="12" t="str">
        <x:v>汇总模拟；工资社保均计入人工费用</x:v>
      </x:c>
    </x:row>
    <x:row r="9" ht="38" customHeight="1">
      <x:c r="A9" s="12" t="str">
        <x:v>2023-05</x:v>
      </x:c>
      <x:c r="B9" s="13" t="n">
        <x:v>80</x:v>
      </x:c>
      <x:c r="C9" s="13" t="n">
        <x:v>520000</x:v>
      </x:c>
      <x:c r="D9" s="13" t="n">
        <x:v>6500</x:v>
      </x:c>
      <x:c r="E9" s="12" t="str">
        <x:v>KS-INJECTION-1000-PAY-202305</x:v>
      </x:c>
      <x:c r="F9" s="12" t="str">
        <x:v>汇总模拟；工资社保均计入人工费用</x:v>
      </x:c>
    </x:row>
    <x:row r="10" ht="38" customHeight="1">
      <x:c r="A10" s="12" t="str">
        <x:v>2023-06</x:v>
      </x:c>
      <x:c r="B10" s="13" t="n">
        <x:v>80</x:v>
      </x:c>
      <x:c r="C10" s="13" t="n">
        <x:v>520000</x:v>
      </x:c>
      <x:c r="D10" s="13" t="n">
        <x:v>6500</x:v>
      </x:c>
      <x:c r="E10" s="12" t="str">
        <x:v>KS-INJECTION-1000-PAY-202306</x:v>
      </x:c>
      <x:c r="F10" s="12" t="str">
        <x:v>汇总模拟；工资社保均计入人工费用</x:v>
      </x:c>
    </x:row>
    <x:row r="11" ht="38" customHeight="1">
      <x:c r="A11" s="12" t="str">
        <x:v>2023-07</x:v>
      </x:c>
      <x:c r="B11" s="13" t="n">
        <x:v>80</x:v>
      </x:c>
      <x:c r="C11" s="13" t="n">
        <x:v>520000</x:v>
      </x:c>
      <x:c r="D11" s="13" t="n">
        <x:v>6500</x:v>
      </x:c>
      <x:c r="E11" s="12" t="str">
        <x:v>KS-INJECTION-1000-PAY-202307</x:v>
      </x:c>
      <x:c r="F11" s="12" t="str">
        <x:v>汇总模拟；工资社保均计入人工费用</x:v>
      </x:c>
    </x:row>
    <x:row r="12" ht="38" customHeight="1">
      <x:c r="A12" s="12" t="str">
        <x:v>2023-08</x:v>
      </x:c>
      <x:c r="B12" s="13" t="n">
        <x:v>80</x:v>
      </x:c>
      <x:c r="C12" s="13" t="n">
        <x:v>520000</x:v>
      </x:c>
      <x:c r="D12" s="13" t="n">
        <x:v>6500</x:v>
      </x:c>
      <x:c r="E12" s="12" t="str">
        <x:v>KS-INJECTION-1000-PAY-202308</x:v>
      </x:c>
      <x:c r="F12" s="12" t="str">
        <x:v>汇总模拟；工资社保均计入人工费用</x:v>
      </x:c>
    </x:row>
    <x:row r="13" ht="38" customHeight="1">
      <x:c r="A13" s="12" t="str">
        <x:v>2023-09</x:v>
      </x:c>
      <x:c r="B13" s="13" t="n">
        <x:v>80</x:v>
      </x:c>
      <x:c r="C13" s="13" t="n">
        <x:v>520000</x:v>
      </x:c>
      <x:c r="D13" s="13" t="n">
        <x:v>6500</x:v>
      </x:c>
      <x:c r="E13" s="12" t="str">
        <x:v>KS-INJECTION-1000-PAY-202309</x:v>
      </x:c>
      <x:c r="F13" s="12" t="str">
        <x:v>汇总模拟；工资社保均计入人工费用</x:v>
      </x:c>
    </x:row>
    <x:row r="14" ht="38" customHeight="1">
      <x:c r="A14" s="12" t="str">
        <x:v>2023-10</x:v>
      </x:c>
      <x:c r="B14" s="13" t="n">
        <x:v>80</x:v>
      </x:c>
      <x:c r="C14" s="13" t="n">
        <x:v>520000</x:v>
      </x:c>
      <x:c r="D14" s="13" t="n">
        <x:v>6500</x:v>
      </x:c>
      <x:c r="E14" s="12" t="str">
        <x:v>KS-INJECTION-1000-PAY-202310</x:v>
      </x:c>
      <x:c r="F14" s="12" t="str">
        <x:v>汇总模拟；工资社保均计入人工费用</x:v>
      </x:c>
    </x:row>
    <x:row r="15" ht="38" customHeight="1">
      <x:c r="A15" s="12" t="str">
        <x:v>2023-11</x:v>
      </x:c>
      <x:c r="B15" s="13" t="n">
        <x:v>80</x:v>
      </x:c>
      <x:c r="C15" s="13" t="n">
        <x:v>520000</x:v>
      </x:c>
      <x:c r="D15" s="13" t="n">
        <x:v>6500</x:v>
      </x:c>
      <x:c r="E15" s="12" t="str">
        <x:v>KS-INJECTION-1000-PAY-202311</x:v>
      </x:c>
      <x:c r="F15" s="12" t="str">
        <x:v>汇总模拟；工资社保均计入人工费用</x:v>
      </x:c>
    </x:row>
    <x:row r="16" ht="38" customHeight="1">
      <x:c r="A16" s="12" t="str">
        <x:v>2023-12</x:v>
      </x:c>
      <x:c r="B16" s="13" t="n">
        <x:v>80</x:v>
      </x:c>
      <x:c r="C16" s="13" t="n">
        <x:v>520000</x:v>
      </x:c>
      <x:c r="D16" s="13" t="n">
        <x:v>6500</x:v>
      </x:c>
      <x:c r="E16" s="12" t="str">
        <x:v>KS-INJECTION-1000-PAY-202312</x:v>
      </x:c>
      <x:c r="F16" s="12" t="str">
        <x:v>汇总模拟；工资社保均计入人工费用</x:v>
      </x:c>
    </x:row>
    <x:row r="17" ht="38" customHeight="1">
      <x:c r="A17" s="12" t="str">
        <x:v>2024-01</x:v>
      </x:c>
      <x:c r="B17" s="13" t="n">
        <x:v>80</x:v>
      </x:c>
      <x:c r="C17" s="13" t="n">
        <x:v>520000</x:v>
      </x:c>
      <x:c r="D17" s="13" t="n">
        <x:v>6500</x:v>
      </x:c>
      <x:c r="E17" s="12" t="str">
        <x:v>KS-INJECTION-1000-PAY-202401</x:v>
      </x:c>
      <x:c r="F17" s="12" t="str">
        <x:v>汇总模拟；工资社保均计入人工费用</x:v>
      </x:c>
    </x:row>
    <x:row r="18" ht="38" customHeight="1">
      <x:c r="A18" s="12" t="str">
        <x:v>2024-02</x:v>
      </x:c>
      <x:c r="B18" s="13" t="n">
        <x:v>80</x:v>
      </x:c>
      <x:c r="C18" s="13" t="n">
        <x:v>520000</x:v>
      </x:c>
      <x:c r="D18" s="13" t="n">
        <x:v>6500</x:v>
      </x:c>
      <x:c r="E18" s="12" t="str">
        <x:v>KS-INJECTION-1000-PAY-202402</x:v>
      </x:c>
      <x:c r="F18" s="12" t="str">
        <x:v>汇总模拟；工资社保均计入人工费用</x:v>
      </x:c>
    </x:row>
    <x:row r="19" ht="38" customHeight="1">
      <x:c r="A19" s="12" t="str">
        <x:v>2024-03</x:v>
      </x:c>
      <x:c r="B19" s="13" t="n">
        <x:v>80</x:v>
      </x:c>
      <x:c r="C19" s="13" t="n">
        <x:v>520000</x:v>
      </x:c>
      <x:c r="D19" s="13" t="n">
        <x:v>6500</x:v>
      </x:c>
      <x:c r="E19" s="12" t="str">
        <x:v>KS-INJECTION-1000-PAY-202403</x:v>
      </x:c>
      <x:c r="F19" s="12" t="str">
        <x:v>汇总模拟；工资社保均计入人工费用</x:v>
      </x:c>
    </x:row>
    <x:row r="20" ht="38" customHeight="1">
      <x:c r="A20" s="12" t="str">
        <x:v>2024-04</x:v>
      </x:c>
      <x:c r="B20" s="13" t="n">
        <x:v>80</x:v>
      </x:c>
      <x:c r="C20" s="13" t="n">
        <x:v>520000</x:v>
      </x:c>
      <x:c r="D20" s="13" t="n">
        <x:v>6500</x:v>
      </x:c>
      <x:c r="E20" s="12" t="str">
        <x:v>KS-INJECTION-1000-PAY-202404</x:v>
      </x:c>
      <x:c r="F20" s="12" t="str">
        <x:v>汇总模拟；工资社保均计入人工费用</x:v>
      </x:c>
    </x:row>
    <x:row r="21" ht="38" customHeight="1">
      <x:c r="A21" s="12" t="str">
        <x:v>2024-05</x:v>
      </x:c>
      <x:c r="B21" s="13" t="n">
        <x:v>80</x:v>
      </x:c>
      <x:c r="C21" s="13" t="n">
        <x:v>520000</x:v>
      </x:c>
      <x:c r="D21" s="13" t="n">
        <x:v>6500</x:v>
      </x:c>
      <x:c r="E21" s="12" t="str">
        <x:v>KS-INJECTION-1000-PAY-202405</x:v>
      </x:c>
      <x:c r="F21" s="12" t="str">
        <x:v>汇总模拟；工资社保均计入人工费用</x:v>
      </x:c>
    </x:row>
    <x:row r="22" ht="38" customHeight="1">
      <x:c r="A22" s="12" t="str">
        <x:v>2024-06</x:v>
      </x:c>
      <x:c r="B22" s="13" t="n">
        <x:v>80</x:v>
      </x:c>
      <x:c r="C22" s="13" t="n">
        <x:v>520000</x:v>
      </x:c>
      <x:c r="D22" s="13" t="n">
        <x:v>6500</x:v>
      </x:c>
      <x:c r="E22" s="12" t="str">
        <x:v>KS-INJECTION-1000-PAY-202406</x:v>
      </x:c>
      <x:c r="F22" s="12" t="str">
        <x:v>汇总模拟；工资社保均计入人工费用</x:v>
      </x:c>
    </x:row>
    <x:row r="23" ht="38" customHeight="1">
      <x:c r="A23" s="12" t="str">
        <x:v>2024-07</x:v>
      </x:c>
      <x:c r="B23" s="13" t="n">
        <x:v>80</x:v>
      </x:c>
      <x:c r="C23" s="13" t="n">
        <x:v>520000</x:v>
      </x:c>
      <x:c r="D23" s="13" t="n">
        <x:v>6500</x:v>
      </x:c>
      <x:c r="E23" s="12" t="str">
        <x:v>KS-INJECTION-1000-PAY-202407</x:v>
      </x:c>
      <x:c r="F23" s="12" t="str">
        <x:v>汇总模拟；工资社保均计入人工费用</x:v>
      </x:c>
    </x:row>
    <x:row r="24" ht="38" customHeight="1">
      <x:c r="A24" s="12" t="str">
        <x:v>2024-08</x:v>
      </x:c>
      <x:c r="B24" s="13" t="n">
        <x:v>80</x:v>
      </x:c>
      <x:c r="C24" s="13" t="n">
        <x:v>520000</x:v>
      </x:c>
      <x:c r="D24" s="13" t="n">
        <x:v>6500</x:v>
      </x:c>
      <x:c r="E24" s="12" t="str">
        <x:v>KS-INJECTION-1000-PAY-202408</x:v>
      </x:c>
      <x:c r="F24" s="12" t="str">
        <x:v>汇总模拟；工资社保均计入人工费用</x:v>
      </x:c>
    </x:row>
    <x:row r="25" ht="38" customHeight="1">
      <x:c r="A25" s="12" t="str">
        <x:v>2024-09</x:v>
      </x:c>
      <x:c r="B25" s="13" t="n">
        <x:v>80</x:v>
      </x:c>
      <x:c r="C25" s="13" t="n">
        <x:v>520000</x:v>
      </x:c>
      <x:c r="D25" s="13" t="n">
        <x:v>6500</x:v>
      </x:c>
      <x:c r="E25" s="12" t="str">
        <x:v>KS-INJECTION-1000-PAY-202409</x:v>
      </x:c>
      <x:c r="F25" s="12" t="str">
        <x:v>汇总模拟；工资社保均计入人工费用</x:v>
      </x:c>
    </x:row>
    <x:row r="26" ht="38" customHeight="1">
      <x:c r="A26" s="12" t="str">
        <x:v>2024-10</x:v>
      </x:c>
      <x:c r="B26" s="13" t="n">
        <x:v>80</x:v>
      </x:c>
      <x:c r="C26" s="13" t="n">
        <x:v>520000</x:v>
      </x:c>
      <x:c r="D26" s="13" t="n">
        <x:v>6500</x:v>
      </x:c>
      <x:c r="E26" s="12" t="str">
        <x:v>KS-INJECTION-1000-PAY-202410</x:v>
      </x:c>
      <x:c r="F26" s="12" t="str">
        <x:v>汇总模拟；工资社保均计入人工费用</x:v>
      </x:c>
    </x:row>
    <x:row r="27" ht="38" customHeight="1">
      <x:c r="A27" s="12" t="str">
        <x:v>2024-11</x:v>
      </x:c>
      <x:c r="B27" s="13" t="n">
        <x:v>80</x:v>
      </x:c>
      <x:c r="C27" s="13" t="n">
        <x:v>520000</x:v>
      </x:c>
      <x:c r="D27" s="13" t="n">
        <x:v>6500</x:v>
      </x:c>
      <x:c r="E27" s="12" t="str">
        <x:v>KS-INJECTION-1000-PAY-202411</x:v>
      </x:c>
      <x:c r="F27" s="12" t="str">
        <x:v>汇总模拟；工资社保均计入人工费用</x:v>
      </x:c>
    </x:row>
    <x:row r="28" ht="38" customHeight="1">
      <x:c r="A28" s="12" t="str">
        <x:v>2024-12</x:v>
      </x:c>
      <x:c r="B28" s="13" t="n">
        <x:v>80</x:v>
      </x:c>
      <x:c r="C28" s="13" t="n">
        <x:v>520000</x:v>
      </x:c>
      <x:c r="D28" s="13" t="n">
        <x:v>6500</x:v>
      </x:c>
      <x:c r="E28" s="12" t="str">
        <x:v>KS-INJECTION-1000-PAY-202412</x:v>
      </x:c>
      <x:c r="F28" s="12" t="str">
        <x:v>汇总模拟；工资社保均计入人工费用</x:v>
      </x:c>
    </x:row>
    <x:row r="29" ht="38" customHeight="1">
      <x:c r="A29" s="12" t="str">
        <x:v>2025-01</x:v>
      </x:c>
      <x:c r="B29" s="13" t="n">
        <x:v>80</x:v>
      </x:c>
      <x:c r="C29" s="13" t="n">
        <x:v>520000</x:v>
      </x:c>
      <x:c r="D29" s="13" t="n">
        <x:v>6500</x:v>
      </x:c>
      <x:c r="E29" s="12" t="str">
        <x:v>KS-INJECTION-1000-PAY-202501</x:v>
      </x:c>
      <x:c r="F29" s="12" t="str">
        <x:v>汇总模拟；工资社保均计入人工费用</x:v>
      </x:c>
    </x:row>
    <x:row r="30" ht="38" customHeight="1">
      <x:c r="A30" s="12" t="str">
        <x:v>2025-02</x:v>
      </x:c>
      <x:c r="B30" s="13" t="n">
        <x:v>80</x:v>
      </x:c>
      <x:c r="C30" s="13" t="n">
        <x:v>520000</x:v>
      </x:c>
      <x:c r="D30" s="13" t="n">
        <x:v>6500</x:v>
      </x:c>
      <x:c r="E30" s="12" t="str">
        <x:v>KS-INJECTION-1000-PAY-202502</x:v>
      </x:c>
      <x:c r="F30" s="12" t="str">
        <x:v>汇总模拟；工资社保均计入人工费用</x:v>
      </x:c>
    </x:row>
    <x:row r="31" ht="38" customHeight="1">
      <x:c r="A31" s="12" t="str">
        <x:v>2025-03</x:v>
      </x:c>
      <x:c r="B31" s="13" t="n">
        <x:v>80</x:v>
      </x:c>
      <x:c r="C31" s="13" t="n">
        <x:v>520000</x:v>
      </x:c>
      <x:c r="D31" s="13" t="n">
        <x:v>6500</x:v>
      </x:c>
      <x:c r="E31" s="12" t="str">
        <x:v>KS-INJECTION-1000-PAY-202503</x:v>
      </x:c>
      <x:c r="F31" s="12" t="str">
        <x:v>汇总模拟；工资社保均计入人工费用</x:v>
      </x:c>
    </x:row>
    <x:row r="32" ht="38" customHeight="1">
      <x:c r="A32" s="12" t="str">
        <x:v>2025-04</x:v>
      </x:c>
      <x:c r="B32" s="13" t="n">
        <x:v>80</x:v>
      </x:c>
      <x:c r="C32" s="13" t="n">
        <x:v>520000</x:v>
      </x:c>
      <x:c r="D32" s="13" t="n">
        <x:v>6500</x:v>
      </x:c>
      <x:c r="E32" s="12" t="str">
        <x:v>KS-INJECTION-1000-PAY-202504</x:v>
      </x:c>
      <x:c r="F32" s="12" t="str">
        <x:v>汇总模拟；工资社保均计入人工费用</x:v>
      </x:c>
    </x:row>
    <x:row r="33" ht="38" customHeight="1">
      <x:c r="A33" s="12" t="str">
        <x:v>2025-05</x:v>
      </x:c>
      <x:c r="B33" s="13" t="n">
        <x:v>80</x:v>
      </x:c>
      <x:c r="C33" s="13" t="n">
        <x:v>520000</x:v>
      </x:c>
      <x:c r="D33" s="13" t="n">
        <x:v>6500</x:v>
      </x:c>
      <x:c r="E33" s="12" t="str">
        <x:v>KS-INJECTION-1000-PAY-202505</x:v>
      </x:c>
      <x:c r="F33" s="12" t="str">
        <x:v>汇总模拟；工资社保均计入人工费用</x:v>
      </x:c>
    </x:row>
    <x:row r="34" ht="38" customHeight="1">
      <x:c r="A34" s="12" t="str">
        <x:v>2025-06</x:v>
      </x:c>
      <x:c r="B34" s="13" t="n">
        <x:v>80</x:v>
      </x:c>
      <x:c r="C34" s="13" t="n">
        <x:v>520000</x:v>
      </x:c>
      <x:c r="D34" s="13" t="n">
        <x:v>6500</x:v>
      </x:c>
      <x:c r="E34" s="12" t="str">
        <x:v>KS-INJECTION-1000-PAY-202506</x:v>
      </x:c>
      <x:c r="F34" s="12" t="str">
        <x:v>汇总模拟；工资社保均计入人工费用</x:v>
      </x:c>
    </x:row>
    <x:row r="35" ht="38" customHeight="1">
      <x:c r="A35" s="12" t="str">
        <x:v>2025-07</x:v>
      </x:c>
      <x:c r="B35" s="13" t="n">
        <x:v>80</x:v>
      </x:c>
      <x:c r="C35" s="13" t="n">
        <x:v>520000</x:v>
      </x:c>
      <x:c r="D35" s="13" t="n">
        <x:v>6500</x:v>
      </x:c>
      <x:c r="E35" s="12" t="str">
        <x:v>KS-INJECTION-1000-PAY-202507</x:v>
      </x:c>
      <x:c r="F35" s="12" t="str">
        <x:v>汇总模拟；工资社保均计入人工费用</x:v>
      </x:c>
    </x:row>
    <x:row r="36" ht="38" customHeight="1">
      <x:c r="A36" s="12" t="str">
        <x:v>2025-08</x:v>
      </x:c>
      <x:c r="B36" s="13" t="n">
        <x:v>80</x:v>
      </x:c>
      <x:c r="C36" s="13" t="n">
        <x:v>520000</x:v>
      </x:c>
      <x:c r="D36" s="13" t="n">
        <x:v>6500</x:v>
      </x:c>
      <x:c r="E36" s="12" t="str">
        <x:v>KS-INJECTION-1000-PAY-202508</x:v>
      </x:c>
      <x:c r="F36" s="12" t="str">
        <x:v>汇总模拟；工资社保均计入人工费用</x:v>
      </x:c>
    </x:row>
    <x:row r="37" ht="38" customHeight="1">
      <x:c r="A37" s="12" t="str">
        <x:v>2025-09</x:v>
      </x:c>
      <x:c r="B37" s="13" t="n">
        <x:v>80</x:v>
      </x:c>
      <x:c r="C37" s="13" t="n">
        <x:v>520000</x:v>
      </x:c>
      <x:c r="D37" s="13" t="n">
        <x:v>6500</x:v>
      </x:c>
      <x:c r="E37" s="12" t="str">
        <x:v>KS-INJECTION-1000-PAY-202509</x:v>
      </x:c>
      <x:c r="F37" s="12" t="str">
        <x:v>汇总模拟；工资社保均计入人工费用</x:v>
      </x:c>
    </x:row>
    <x:row r="38" ht="38" customHeight="1">
      <x:c r="A38" s="12" t="str">
        <x:v>2025-10</x:v>
      </x:c>
      <x:c r="B38" s="13" t="n">
        <x:v>80</x:v>
      </x:c>
      <x:c r="C38" s="13" t="n">
        <x:v>520000</x:v>
      </x:c>
      <x:c r="D38" s="13" t="n">
        <x:v>6500</x:v>
      </x:c>
      <x:c r="E38" s="12" t="str">
        <x:v>KS-INJECTION-1000-PAY-202510</x:v>
      </x:c>
      <x:c r="F38" s="12" t="str">
        <x:v>汇总模拟；工资社保均计入人工费用</x:v>
      </x:c>
    </x:row>
    <x:row r="39" ht="38" customHeight="1">
      <x:c r="A39" s="12" t="str">
        <x:v>2025-11</x:v>
      </x:c>
      <x:c r="B39" s="13" t="n">
        <x:v>80</x:v>
      </x:c>
      <x:c r="C39" s="13" t="n">
        <x:v>520000</x:v>
      </x:c>
      <x:c r="D39" s="13" t="n">
        <x:v>6500</x:v>
      </x:c>
      <x:c r="E39" s="12" t="str">
        <x:v>KS-INJECTION-1000-PAY-202511</x:v>
      </x:c>
      <x:c r="F39" s="12" t="str">
        <x:v>汇总模拟；工资社保均计入人工费用</x:v>
      </x:c>
    </x:row>
    <x:row r="40" ht="38" customHeight="1">
      <x:c r="A40" s="12" t="str">
        <x:v>2025-12</x:v>
      </x:c>
      <x:c r="B40" s="13" t="n">
        <x:v>80</x:v>
      </x:c>
      <x:c r="C40" s="13" t="n">
        <x:v>520000</x:v>
      </x:c>
      <x:c r="D40" s="13" t="n">
        <x:v>6500</x:v>
      </x:c>
      <x:c r="E40" s="12" t="str">
        <x:v>KS-INJECTION-1000-PAY-202512</x:v>
      </x:c>
      <x:c r="F40" s="12" t="str">
        <x:v>汇总模拟；工资社保均计入人工费用</x:v>
      </x:c>
    </x:row>
    <x:row r="41" ht="38" customHeight="1">
      <x:c r="A41" s="12" t="str">
        <x:v>2026-01</x:v>
      </x:c>
      <x:c r="B41" s="13" t="n">
        <x:v>80</x:v>
      </x:c>
      <x:c r="C41" s="13" t="n">
        <x:v>520000</x:v>
      </x:c>
      <x:c r="D41" s="13" t="n">
        <x:v>6500</x:v>
      </x:c>
      <x:c r="E41" s="12" t="str">
        <x:v>KS-INJECTION-1000-PAY-202601</x:v>
      </x:c>
      <x:c r="F41" s="12" t="str">
        <x:v>汇总模拟；工资社保均计入人工费用</x:v>
      </x:c>
    </x:row>
    <x:row r="42" ht="38" customHeight="1">
      <x:c r="A42" s="12" t="str">
        <x:v>2026-02</x:v>
      </x:c>
      <x:c r="B42" s="13" t="n">
        <x:v>80</x:v>
      </x:c>
      <x:c r="C42" s="13" t="n">
        <x:v>520000</x:v>
      </x:c>
      <x:c r="D42" s="13" t="n">
        <x:v>6500</x:v>
      </x:c>
      <x:c r="E42" s="12" t="str">
        <x:v>KS-INJECTION-1000-PAY-202602</x:v>
      </x:c>
      <x:c r="F42" s="12" t="str">
        <x:v>汇总模拟；工资社保均计入人工费用</x:v>
      </x:c>
    </x:row>
    <x:row r="43" ht="38" customHeight="1">
      <x:c r="A43" s="12" t="str">
        <x:v>2026-03</x:v>
      </x:c>
      <x:c r="B43" s="13" t="n">
        <x:v>80</x:v>
      </x:c>
      <x:c r="C43" s="13" t="n">
        <x:v>520000</x:v>
      </x:c>
      <x:c r="D43" s="13" t="n">
        <x:v>6500</x:v>
      </x:c>
      <x:c r="E43" s="12" t="str">
        <x:v>KS-INJECTION-1000-PAY-202603</x:v>
      </x:c>
      <x:c r="F43" s="12" t="str">
        <x:v>汇总模拟；工资社保均计入人工费用</x:v>
      </x:c>
    </x:row>
    <x:row r="44" ht="38" customHeight="1">
      <x:c r="A44" s="12" t="str">
        <x:v>2026-04</x:v>
      </x:c>
      <x:c r="B44" s="13" t="n">
        <x:v>80</x:v>
      </x:c>
      <x:c r="C44" s="13" t="n">
        <x:v>520000</x:v>
      </x:c>
      <x:c r="D44" s="13" t="n">
        <x:v>6500</x:v>
      </x:c>
      <x:c r="E44" s="12" t="str">
        <x:v>KS-INJECTION-1000-PAY-202604</x:v>
      </x:c>
      <x:c r="F44" s="12" t="str">
        <x:v>汇总模拟；工资社保均计入人工费用</x:v>
      </x:c>
    </x:row>
    <x:row r="45" ht="38" customHeight="1">
      <x:c r="A45" s="12" t="str">
        <x:v>2026-05</x:v>
      </x:c>
      <x:c r="B45" s="13" t="n">
        <x:v>80</x:v>
      </x:c>
      <x:c r="C45" s="13" t="n">
        <x:v>520000</x:v>
      </x:c>
      <x:c r="D45" s="13" t="n">
        <x:v>6500</x:v>
      </x:c>
      <x:c r="E45" s="12" t="str">
        <x:v>KS-INJECTION-1000-PAY-202605</x:v>
      </x:c>
      <x:c r="F45" s="12" t="str">
        <x:v>汇总模拟；工资社保均计入人工费用</x:v>
      </x:c>
    </x:row>
    <x:row r="46" ht="38" customHeight="1">
      <x:c r="A46" s="12" t="str">
        <x:v>2026-06</x:v>
      </x:c>
      <x:c r="B46" s="13" t="n">
        <x:v>80</x:v>
      </x:c>
      <x:c r="C46" s="13" t="n">
        <x:v>520000</x:v>
      </x:c>
      <x:c r="D46" s="13" t="n">
        <x:v>6500</x:v>
      </x:c>
      <x:c r="E46" s="12" t="str">
        <x:v>KS-INJECTION-1000-PAY-202606</x:v>
      </x:c>
      <x:c r="F46" s="12" t="str">
        <x:v>汇总模拟；工资社保均计入人工费用</x:v>
      </x:c>
    </x:row>
    <x:row r="47" ht="38" customHeight="1">
      <x:c r="A47" s="12" t="str">
        <x:v>2026-07</x:v>
      </x:c>
      <x:c r="B47" s="13" t="n">
        <x:v>80</x:v>
      </x:c>
      <x:c r="C47" s="13" t="n">
        <x:v>520000</x:v>
      </x:c>
      <x:c r="D47" s="13" t="n">
        <x:v>6500</x:v>
      </x:c>
      <x:c r="E47" s="12" t="str">
        <x:v>KS-INJECTION-1000-PAY-202607</x:v>
      </x:c>
      <x:c r="F47" s="12" t="str">
        <x:v>汇总模拟；工资社保均计入人工费用</x:v>
      </x:c>
    </x:row>
    <x:row r="48" ht="38" customHeight="1">
      <x:c r="A48" s="12" t="str">
        <x:v>2026-08</x:v>
      </x:c>
      <x:c r="B48" s="13" t="n">
        <x:v>80</x:v>
      </x:c>
      <x:c r="C48" s="13" t="n">
        <x:v>520000</x:v>
      </x:c>
      <x:c r="D48" s="13" t="n">
        <x:v>6500</x:v>
      </x:c>
      <x:c r="E48" s="12" t="str">
        <x:v>KS-INJECTION-1000-PAY-202608</x:v>
      </x:c>
      <x:c r="F48" s="12" t="str">
        <x:v>汇总模拟；工资社保均计入人工费用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4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6" hidden="0" customWidth="1"/>
    <x:col min="11" max="11" width="46" hidden="0" customWidth="1"/>
    <x:col min="12" max="12" width="46" hidden="0" customWidth="1"/>
    <x:col min="13" max="13" width="46" hidden="0" customWidth="1"/>
    <x:col min="14" max="14" width="21" hidden="0" customWidth="1"/>
    <x:col min="15" max="15" width="21" hidden="0" customWidth="1"/>
  </x:cols>
  <x:sheetData>
    <x:row r="1" ht="30" customHeight="1">
      <x:c r="A1" s="9" t="str">
        <x:v>喀什示例塑料制品有限公司 · 设备清单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4" ht="38" customHeight="1">
      <x:c r="A4" s="11" t="str">
        <x:v>序列号</x:v>
      </x:c>
      <x:c r="B4" s="11" t="str">
        <x:v>品牌场景</x:v>
      </x:c>
      <x:c r="C4" s="11" t="str">
        <x:v>模拟型号</x:v>
      </x:c>
      <x:c r="D4" s="11" t="str">
        <x:v>验收日</x:v>
      </x:c>
      <x:c r="E4" s="11" t="str">
        <x:v>原值元</x:v>
      </x:c>
      <x:c r="F4" s="11" t="str">
        <x:v>累计折旧元</x:v>
      </x:c>
      <x:c r="G4" s="11" t="str">
        <x:v>净值元</x:v>
      </x:c>
      <x:c r="H4" s="11" t="str">
        <x:v>权属声明</x:v>
      </x:c>
      <x:c r="I4" s="11" t="str">
        <x:v>核验状态</x:v>
      </x:c>
      <x:c r="J4" s="11" t="str">
        <x:v>合同号</x:v>
      </x:c>
      <x:c r="K4" s="11" t="str">
        <x:v>发票号</x:v>
      </x:c>
      <x:c r="L4" s="11" t="str">
        <x:v>付款号</x:v>
      </x:c>
      <x:c r="M4" s="11" t="str">
        <x:v>验收号</x:v>
      </x:c>
      <x:c r="N4" s="11" t="str">
        <x:v>地点</x:v>
      </x:c>
      <x:c r="O4" s="11" t="str">
        <x:v>标识</x:v>
      </x:c>
    </x:row>
    <x:row r="5" ht="38" customHeight="1">
      <x:c r="A5" s="12" t="str">
        <x:v>SYN-KS-INJECTION-1000-EQ-01</x:v>
      </x:c>
      <x:c r="B5" s="12" t="str">
        <x:v>华美达</x:v>
      </x:c>
      <x:c r="C5" s="12" t="str">
        <x:v>SIM-注塑制品生产-01</x:v>
      </x:c>
      <x:c r="D5" s="14" t="n">
        <x:v>44896</x:v>
      </x:c>
      <x:c r="E5" s="13" t="n">
        <x:v>2000000</x:v>
      </x:c>
      <x:c r="F5" s="13" t="n">
        <x:v>609231</x:v>
      </x:c>
      <x:c r="G5" s="13" t="n">
        <x:v>1390769</x:v>
      </x:c>
      <x:c r="H5" s="12" t="str">
        <x:v>self-owned</x:v>
      </x:c>
      <x:c r="I5" s="12" t="str">
        <x:v>待人工核验</x:v>
      </x:c>
      <x:c r="J5" s="12" t="str">
        <x:v>KS-INJECTION-1000-EQ-CONTRACT</x:v>
      </x:c>
      <x:c r="K5" s="12" t="str">
        <x:v>SYN-KS-INJECTION-1000-EQ-01-INV</x:v>
      </x:c>
      <x:c r="L5" s="12" t="str">
        <x:v>SYN-KS-INJECTION-1000-EQ-01-PAY</x:v>
      </x:c>
      <x:c r="M5" s="12" t="str">
        <x:v>SYN-KS-INJECTION-1000-EQ-01-ACCEPT</x:v>
      </x:c>
      <x:c r="N5" s="12" t="str">
        <x:v>喀什模拟厂区A栋</x:v>
      </x:c>
      <x:c r="O5" s="12" t="str">
        <x:v>SYNTHETIC</x:v>
      </x:c>
    </x:row>
    <x:row r="6" ht="38" customHeight="1">
      <x:c r="A6" s="12" t="str">
        <x:v>SYN-KS-INJECTION-1000-EQ-02</x:v>
      </x:c>
      <x:c r="B6" s="12" t="str">
        <x:v>华美达</x:v>
      </x:c>
      <x:c r="C6" s="12" t="str">
        <x:v>SIM-注塑制品生产-02</x:v>
      </x:c>
      <x:c r="D6" s="14" t="n">
        <x:v>44896</x:v>
      </x:c>
      <x:c r="E6" s="13" t="n">
        <x:v>2000000</x:v>
      </x:c>
      <x:c r="F6" s="13" t="n">
        <x:v>609231</x:v>
      </x:c>
      <x:c r="G6" s="13" t="n">
        <x:v>1390769</x:v>
      </x:c>
      <x:c r="H6" s="12" t="str">
        <x:v>self-owned</x:v>
      </x:c>
      <x:c r="I6" s="12" t="str">
        <x:v>待人工核验</x:v>
      </x:c>
      <x:c r="J6" s="12" t="str">
        <x:v>KS-INJECTION-1000-EQ-CONTRACT</x:v>
      </x:c>
      <x:c r="K6" s="12" t="str">
        <x:v>SYN-KS-INJECTION-1000-EQ-02-INV</x:v>
      </x:c>
      <x:c r="L6" s="12" t="str">
        <x:v>SYN-KS-INJECTION-1000-EQ-02-PAY</x:v>
      </x:c>
      <x:c r="M6" s="12" t="str">
        <x:v>SYN-KS-INJECTION-1000-EQ-02-ACCEPT</x:v>
      </x:c>
      <x:c r="N6" s="12" t="str">
        <x:v>喀什模拟厂区A栋</x:v>
      </x:c>
      <x:c r="O6" s="12" t="str">
        <x:v>SYNTHETIC</x:v>
      </x:c>
    </x:row>
    <x:row r="7" ht="38" customHeight="1">
      <x:c r="A7" s="12" t="str">
        <x:v>SYN-KS-INJECTION-1000-EQ-03</x:v>
      </x:c>
      <x:c r="B7" s="12" t="str">
        <x:v>华美达</x:v>
      </x:c>
      <x:c r="C7" s="12" t="str">
        <x:v>SIM-注塑制品生产-03</x:v>
      </x:c>
      <x:c r="D7" s="14" t="n">
        <x:v>44896</x:v>
      </x:c>
      <x:c r="E7" s="13" t="n">
        <x:v>2000000</x:v>
      </x:c>
      <x:c r="F7" s="13" t="n">
        <x:v>609231</x:v>
      </x:c>
      <x:c r="G7" s="13" t="n">
        <x:v>1390769</x:v>
      </x:c>
      <x:c r="H7" s="12" t="str">
        <x:v>self-owned</x:v>
      </x:c>
      <x:c r="I7" s="12" t="str">
        <x:v>待人工核验</x:v>
      </x:c>
      <x:c r="J7" s="12" t="str">
        <x:v>KS-INJECTION-1000-EQ-CONTRACT</x:v>
      </x:c>
      <x:c r="K7" s="12" t="str">
        <x:v>SYN-KS-INJECTION-1000-EQ-03-INV</x:v>
      </x:c>
      <x:c r="L7" s="12" t="str">
        <x:v>SYN-KS-INJECTION-1000-EQ-03-PAY</x:v>
      </x:c>
      <x:c r="M7" s="12" t="str">
        <x:v>SYN-KS-INJECTION-1000-EQ-03-ACCEPT</x:v>
      </x:c>
      <x:c r="N7" s="12" t="str">
        <x:v>喀什模拟厂区A栋</x:v>
      </x:c>
      <x:c r="O7" s="12" t="str">
        <x:v>SYNTHETIC</x:v>
      </x:c>
    </x:row>
    <x:row r="8" ht="38" customHeight="1">
      <x:c r="A8" s="12" t="str">
        <x:v>SYN-KS-INJECTION-1000-EQ-04</x:v>
      </x:c>
      <x:c r="B8" s="12" t="str">
        <x:v>华美达</x:v>
      </x:c>
      <x:c r="C8" s="12" t="str">
        <x:v>SIM-注塑制品生产-04</x:v>
      </x:c>
      <x:c r="D8" s="14" t="n">
        <x:v>44896</x:v>
      </x:c>
      <x:c r="E8" s="13" t="n">
        <x:v>2000000</x:v>
      </x:c>
      <x:c r="F8" s="13" t="n">
        <x:v>609231</x:v>
      </x:c>
      <x:c r="G8" s="13" t="n">
        <x:v>1390769</x:v>
      </x:c>
      <x:c r="H8" s="12" t="str">
        <x:v>self-owned</x:v>
      </x:c>
      <x:c r="I8" s="12" t="str">
        <x:v>待人工核验</x:v>
      </x:c>
      <x:c r="J8" s="12" t="str">
        <x:v>KS-INJECTION-1000-EQ-CONTRACT</x:v>
      </x:c>
      <x:c r="K8" s="12" t="str">
        <x:v>SYN-KS-INJECTION-1000-EQ-04-INV</x:v>
      </x:c>
      <x:c r="L8" s="12" t="str">
        <x:v>SYN-KS-INJECTION-1000-EQ-04-PAY</x:v>
      </x:c>
      <x:c r="M8" s="12" t="str">
        <x:v>SYN-KS-INJECTION-1000-EQ-04-ACCEPT</x:v>
      </x:c>
      <x:c r="N8" s="12" t="str">
        <x:v>喀什模拟厂区A栋</x:v>
      </x:c>
      <x:c r="O8" s="12" t="str">
        <x:v>SYNTHETIC</x:v>
      </x:c>
    </x:row>
    <x:row r="9" ht="38" customHeight="1">
      <x:c r="A9" s="12" t="str">
        <x:v>SYN-KS-INJECTION-1000-EQ-05</x:v>
      </x:c>
      <x:c r="B9" s="12" t="str">
        <x:v>华美达</x:v>
      </x:c>
      <x:c r="C9" s="12" t="str">
        <x:v>SIM-注塑制品生产-05</x:v>
      </x:c>
      <x:c r="D9" s="14" t="n">
        <x:v>44896</x:v>
      </x:c>
      <x:c r="E9" s="13" t="n">
        <x:v>2000000</x:v>
      </x:c>
      <x:c r="F9" s="13" t="n">
        <x:v>609231</x:v>
      </x:c>
      <x:c r="G9" s="13" t="n">
        <x:v>1390769</x:v>
      </x:c>
      <x:c r="H9" s="12" t="str">
        <x:v>self-owned</x:v>
      </x:c>
      <x:c r="I9" s="12" t="str">
        <x:v>待人工核验</x:v>
      </x:c>
      <x:c r="J9" s="12" t="str">
        <x:v>KS-INJECTION-1000-EQ-CONTRACT</x:v>
      </x:c>
      <x:c r="K9" s="12" t="str">
        <x:v>SYN-KS-INJECTION-1000-EQ-05-INV</x:v>
      </x:c>
      <x:c r="L9" s="12" t="str">
        <x:v>SYN-KS-INJECTION-1000-EQ-05-PAY</x:v>
      </x:c>
      <x:c r="M9" s="12" t="str">
        <x:v>SYN-KS-INJECTION-1000-EQ-05-ACCEPT</x:v>
      </x:c>
      <x:c r="N9" s="12" t="str">
        <x:v>喀什模拟厂区A栋</x:v>
      </x:c>
      <x:c r="O9" s="12" t="str">
        <x:v>SYNTHETIC</x:v>
      </x:c>
    </x:row>
    <x:row r="10" ht="38" customHeight="1">
      <x:c r="A10" s="12" t="str">
        <x:v>SYN-KS-INJECTION-1000-EQ-06</x:v>
      </x:c>
      <x:c r="B10" s="12" t="str">
        <x:v>华美达</x:v>
      </x:c>
      <x:c r="C10" s="12" t="str">
        <x:v>SIM-注塑制品生产-06</x:v>
      </x:c>
      <x:c r="D10" s="14" t="n">
        <x:v>44896</x:v>
      </x:c>
      <x:c r="E10" s="13" t="n">
        <x:v>2000000</x:v>
      </x:c>
      <x:c r="F10" s="13" t="n">
        <x:v>609231</x:v>
      </x:c>
      <x:c r="G10" s="13" t="n">
        <x:v>1390769</x:v>
      </x:c>
      <x:c r="H10" s="12" t="str">
        <x:v>self-owned</x:v>
      </x:c>
      <x:c r="I10" s="12" t="str">
        <x:v>待人工核验</x:v>
      </x:c>
      <x:c r="J10" s="12" t="str">
        <x:v>KS-INJECTION-1000-EQ-CONTRACT</x:v>
      </x:c>
      <x:c r="K10" s="12" t="str">
        <x:v>SYN-KS-INJECTION-1000-EQ-06-INV</x:v>
      </x:c>
      <x:c r="L10" s="12" t="str">
        <x:v>SYN-KS-INJECTION-1000-EQ-06-PAY</x:v>
      </x:c>
      <x:c r="M10" s="12" t="str">
        <x:v>SYN-KS-INJECTION-1000-EQ-06-ACCEPT</x:v>
      </x:c>
      <x:c r="N10" s="12" t="str">
        <x:v>喀什模拟厂区A栋</x:v>
      </x:c>
      <x:c r="O10" s="12" t="str">
        <x:v>SYNTHETIC</x:v>
      </x:c>
    </x:row>
    <x:row r="11" ht="38" customHeight="1">
      <x:c r="A11" s="12" t="str">
        <x:v>SYN-KS-INJECTION-1000-EQ-07</x:v>
      </x:c>
      <x:c r="B11" s="12" t="str">
        <x:v>华美达</x:v>
      </x:c>
      <x:c r="C11" s="12" t="str">
        <x:v>SIM-注塑制品生产-07</x:v>
      </x:c>
      <x:c r="D11" s="14" t="n">
        <x:v>44896</x:v>
      </x:c>
      <x:c r="E11" s="13" t="n">
        <x:v>2000000</x:v>
      </x:c>
      <x:c r="F11" s="13" t="n">
        <x:v>609231</x:v>
      </x:c>
      <x:c r="G11" s="13" t="n">
        <x:v>1390769</x:v>
      </x:c>
      <x:c r="H11" s="12" t="str">
        <x:v>self-owned</x:v>
      </x:c>
      <x:c r="I11" s="12" t="str">
        <x:v>待人工核验</x:v>
      </x:c>
      <x:c r="J11" s="12" t="str">
        <x:v>KS-INJECTION-1000-EQ-CONTRACT</x:v>
      </x:c>
      <x:c r="K11" s="12" t="str">
        <x:v>SYN-KS-INJECTION-1000-EQ-07-INV</x:v>
      </x:c>
      <x:c r="L11" s="12" t="str">
        <x:v>SYN-KS-INJECTION-1000-EQ-07-PAY</x:v>
      </x:c>
      <x:c r="M11" s="12" t="str">
        <x:v>SYN-KS-INJECTION-1000-EQ-07-ACCEPT</x:v>
      </x:c>
      <x:c r="N11" s="12" t="str">
        <x:v>喀什模拟厂区A栋</x:v>
      </x:c>
      <x:c r="O11" s="12" t="str">
        <x:v>SYNTHETIC</x:v>
      </x:c>
    </x:row>
    <x:row r="12" ht="38" customHeight="1">
      <x:c r="A12" s="12" t="str">
        <x:v>SYN-KS-INJECTION-1000-EQ-08</x:v>
      </x:c>
      <x:c r="B12" s="12" t="str">
        <x:v>华美达</x:v>
      </x:c>
      <x:c r="C12" s="12" t="str">
        <x:v>SIM-注塑制品生产-08</x:v>
      </x:c>
      <x:c r="D12" s="14" t="n">
        <x:v>44896</x:v>
      </x:c>
      <x:c r="E12" s="13" t="n">
        <x:v>2000000</x:v>
      </x:c>
      <x:c r="F12" s="13" t="n">
        <x:v>609231</x:v>
      </x:c>
      <x:c r="G12" s="13" t="n">
        <x:v>1390769</x:v>
      </x:c>
      <x:c r="H12" s="12" t="str">
        <x:v>self-owned</x:v>
      </x:c>
      <x:c r="I12" s="12" t="str">
        <x:v>待人工核验</x:v>
      </x:c>
      <x:c r="J12" s="12" t="str">
        <x:v>KS-INJECTION-1000-EQ-CONTRACT</x:v>
      </x:c>
      <x:c r="K12" s="12" t="str">
        <x:v>SYN-KS-INJECTION-1000-EQ-08-INV</x:v>
      </x:c>
      <x:c r="L12" s="12" t="str">
        <x:v>SYN-KS-INJECTION-1000-EQ-08-PAY</x:v>
      </x:c>
      <x:c r="M12" s="12" t="str">
        <x:v>SYN-KS-INJECTION-1000-EQ-08-ACCEPT</x:v>
      </x:c>
      <x:c r="N12" s="12" t="str">
        <x:v>喀什模拟厂区A栋</x:v>
      </x:c>
      <x:c r="O12" s="12" t="str">
        <x:v>SYNTHETIC</x:v>
      </x:c>
    </x:row>
    <x:row r="13" ht="38" customHeight="1">
      <x:c r="A13" s="12" t="str">
        <x:v>SYN-KS-INJECTION-1000-EQ-09</x:v>
      </x:c>
      <x:c r="B13" s="12" t="str">
        <x:v>华美达</x:v>
      </x:c>
      <x:c r="C13" s="12" t="str">
        <x:v>SIM-注塑制品生产-09</x:v>
      </x:c>
      <x:c r="D13" s="14" t="n">
        <x:v>44896</x:v>
      </x:c>
      <x:c r="E13" s="13" t="n">
        <x:v>2000000</x:v>
      </x:c>
      <x:c r="F13" s="13" t="n">
        <x:v>609231</x:v>
      </x:c>
      <x:c r="G13" s="13" t="n">
        <x:v>1390769</x:v>
      </x:c>
      <x:c r="H13" s="12" t="str">
        <x:v>self-owned</x:v>
      </x:c>
      <x:c r="I13" s="12" t="str">
        <x:v>待人工核验</x:v>
      </x:c>
      <x:c r="J13" s="12" t="str">
        <x:v>KS-INJECTION-1000-EQ-CONTRACT</x:v>
      </x:c>
      <x:c r="K13" s="12" t="str">
        <x:v>SYN-KS-INJECTION-1000-EQ-09-INV</x:v>
      </x:c>
      <x:c r="L13" s="12" t="str">
        <x:v>SYN-KS-INJECTION-1000-EQ-09-PAY</x:v>
      </x:c>
      <x:c r="M13" s="12" t="str">
        <x:v>SYN-KS-INJECTION-1000-EQ-09-ACCEPT</x:v>
      </x:c>
      <x:c r="N13" s="12" t="str">
        <x:v>喀什模拟厂区A栋</x:v>
      </x:c>
      <x:c r="O13" s="12" t="str">
        <x:v>SYNTHETIC</x:v>
      </x:c>
    </x:row>
    <x:row r="14" ht="38" customHeight="1">
      <x:c r="A14" s="12" t="str">
        <x:v>SYN-KS-INJECTION-1000-EQ-10</x:v>
      </x:c>
      <x:c r="B14" s="12" t="str">
        <x:v>华美达</x:v>
      </x:c>
      <x:c r="C14" s="12" t="str">
        <x:v>SIM-注塑制品生产-10</x:v>
      </x:c>
      <x:c r="D14" s="14" t="n">
        <x:v>44896</x:v>
      </x:c>
      <x:c r="E14" s="13" t="n">
        <x:v>2000000</x:v>
      </x:c>
      <x:c r="F14" s="13" t="n">
        <x:v>609231</x:v>
      </x:c>
      <x:c r="G14" s="13" t="n">
        <x:v>1390769</x:v>
      </x:c>
      <x:c r="H14" s="12" t="str">
        <x:v>self-owned</x:v>
      </x:c>
      <x:c r="I14" s="12" t="str">
        <x:v>待人工核验</x:v>
      </x:c>
      <x:c r="J14" s="12" t="str">
        <x:v>KS-INJECTION-1000-EQ-CONTRACT</x:v>
      </x:c>
      <x:c r="K14" s="12" t="str">
        <x:v>SYN-KS-INJECTION-1000-EQ-10-INV</x:v>
      </x:c>
      <x:c r="L14" s="12" t="str">
        <x:v>SYN-KS-INJECTION-1000-EQ-10-PAY</x:v>
      </x:c>
      <x:c r="M14" s="12" t="str">
        <x:v>SYN-KS-INJECTION-1000-EQ-10-ACCEPT</x:v>
      </x:c>
      <x:c r="N14" s="12" t="str">
        <x:v>喀什模拟厂区A栋</x:v>
      </x:c>
      <x:c r="O14" s="12" t="str">
        <x:v>SYNTHETIC</x:v>
      </x:c>
    </x:row>
    <x:row r="15" ht="38" customHeight="1">
      <x:c r="A15" s="12" t="str">
        <x:v>SYN-KS-INJECTION-1000-EQ-11</x:v>
      </x:c>
      <x:c r="B15" s="12" t="str">
        <x:v>华美达</x:v>
      </x:c>
      <x:c r="C15" s="12" t="str">
        <x:v>SIM-注塑制品生产-11</x:v>
      </x:c>
      <x:c r="D15" s="14" t="n">
        <x:v>44896</x:v>
      </x:c>
      <x:c r="E15" s="13" t="n">
        <x:v>2000000</x:v>
      </x:c>
      <x:c r="F15" s="13" t="n">
        <x:v>609231</x:v>
      </x:c>
      <x:c r="G15" s="13" t="n">
        <x:v>1390769</x:v>
      </x:c>
      <x:c r="H15" s="12" t="str">
        <x:v>self-owned</x:v>
      </x:c>
      <x:c r="I15" s="12" t="str">
        <x:v>待人工核验</x:v>
      </x:c>
      <x:c r="J15" s="12" t="str">
        <x:v>KS-INJECTION-1000-EQ-CONTRACT</x:v>
      </x:c>
      <x:c r="K15" s="12" t="str">
        <x:v>SYN-KS-INJECTION-1000-EQ-11-INV</x:v>
      </x:c>
      <x:c r="L15" s="12" t="str">
        <x:v>SYN-KS-INJECTION-1000-EQ-11-PAY</x:v>
      </x:c>
      <x:c r="M15" s="12" t="str">
        <x:v>SYN-KS-INJECTION-1000-EQ-11-ACCEPT</x:v>
      </x:c>
      <x:c r="N15" s="12" t="str">
        <x:v>喀什模拟厂区A栋</x:v>
      </x:c>
      <x:c r="O15" s="12" t="str">
        <x:v>SYNTHETIC</x:v>
      </x:c>
    </x:row>
    <x:row r="16" ht="38" customHeight="1">
      <x:c r="A16" s="12" t="str">
        <x:v>SYN-KS-INJECTION-1000-EQ-12</x:v>
      </x:c>
      <x:c r="B16" s="12" t="str">
        <x:v>华美达</x:v>
      </x:c>
      <x:c r="C16" s="12" t="str">
        <x:v>SIM-注塑制品生产-12</x:v>
      </x:c>
      <x:c r="D16" s="14" t="n">
        <x:v>44896</x:v>
      </x:c>
      <x:c r="E16" s="13" t="n">
        <x:v>2000000</x:v>
      </x:c>
      <x:c r="F16" s="13" t="n">
        <x:v>609231</x:v>
      </x:c>
      <x:c r="G16" s="13" t="n">
        <x:v>1390769</x:v>
      </x:c>
      <x:c r="H16" s="12" t="str">
        <x:v>self-owned</x:v>
      </x:c>
      <x:c r="I16" s="12" t="str">
        <x:v>待人工核验</x:v>
      </x:c>
      <x:c r="J16" s="12" t="str">
        <x:v>KS-INJECTION-1000-EQ-CONTRACT</x:v>
      </x:c>
      <x:c r="K16" s="12" t="str">
        <x:v>SYN-KS-INJECTION-1000-EQ-12-INV</x:v>
      </x:c>
      <x:c r="L16" s="12" t="str">
        <x:v>SYN-KS-INJECTION-1000-EQ-12-PAY</x:v>
      </x:c>
      <x:c r="M16" s="12" t="str">
        <x:v>SYN-KS-INJECTION-1000-EQ-12-ACCEPT</x:v>
      </x:c>
      <x:c r="N16" s="12" t="str">
        <x:v>喀什模拟厂区A栋</x:v>
      </x:c>
      <x:c r="O16" s="12" t="str">
        <x:v>SYNTHETIC</x:v>
      </x:c>
    </x:row>
    <x:row r="17" ht="38" customHeight="1">
      <x:c r="A17" s="12" t="str">
        <x:v>SYN-KS-INJECTION-1000-EQ-13</x:v>
      </x:c>
      <x:c r="B17" s="12" t="str">
        <x:v>华美达</x:v>
      </x:c>
      <x:c r="C17" s="12" t="str">
        <x:v>SIM-注塑制品生产-13</x:v>
      </x:c>
      <x:c r="D17" s="14" t="n">
        <x:v>44896</x:v>
      </x:c>
      <x:c r="E17" s="13" t="n">
        <x:v>2000000</x:v>
      </x:c>
      <x:c r="F17" s="13" t="n">
        <x:v>609228</x:v>
      </x:c>
      <x:c r="G17" s="13" t="n">
        <x:v>1390772</x:v>
      </x:c>
      <x:c r="H17" s="12" t="str">
        <x:v>self-owned</x:v>
      </x:c>
      <x:c r="I17" s="12" t="str">
        <x:v>待人工核验</x:v>
      </x:c>
      <x:c r="J17" s="12" t="str">
        <x:v>KS-INJECTION-1000-EQ-CONTRACT</x:v>
      </x:c>
      <x:c r="K17" s="12" t="str">
        <x:v>SYN-KS-INJECTION-1000-EQ-13-INV</x:v>
      </x:c>
      <x:c r="L17" s="12" t="str">
        <x:v>SYN-KS-INJECTION-1000-EQ-13-PAY</x:v>
      </x:c>
      <x:c r="M17" s="12" t="str">
        <x:v>SYN-KS-INJECTION-1000-EQ-13-ACCEPT</x:v>
      </x:c>
      <x:c r="N17" s="12" t="str">
        <x:v>喀什模拟厂区A栋</x:v>
      </x:c>
      <x:c r="O17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46" hidden="0" customWidth="1"/>
  </x:cols>
  <x:sheetData>
    <x:row r="1" ht="30" customHeight="1">
      <x:c r="A1" s="9" t="str">
        <x:v>喀什示例塑料制品有限公司 · 应收明细</x:v>
      </x:c>
      <x:c r="B1" s="9"/>
      <x:c r="C1" s="9"/>
      <x:c r="D1" s="9"/>
      <x:c r="E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</x:row>
    <x:row r="3">
      <x:c r="A3" s="10"/>
      <x:c r="B3" s="10"/>
      <x:c r="C3" s="10"/>
      <x:c r="D3" s="10"/>
      <x:c r="E3" s="10"/>
    </x:row>
    <x:row r="4" ht="38" customHeight="1">
      <x:c r="A4" s="11" t="str">
        <x:v>订单号</x:v>
      </x:c>
      <x:c r="B4" s="11" t="str">
        <x:v>客户</x:v>
      </x:c>
      <x:c r="C4" s="11" t="str">
        <x:v>交付日</x:v>
      </x:c>
      <x:c r="D4" s="11" t="str">
        <x:v>余额元</x:v>
      </x:c>
      <x:c r="E4" s="11" t="str">
        <x:v>备注</x:v>
      </x:c>
    </x:row>
    <x:row r="5" ht="38" customHeight="1">
      <x:c r="A5" s="12" t="str">
        <x:v>OPENING-AR</x:v>
      </x:c>
      <x:c r="B5" s="12" t="str">
        <x:v>模拟历史客户</x:v>
      </x:c>
      <x:c r="C5" s="14" t="n">
        <x:v>44926</x:v>
      </x:c>
      <x:c r="D5" s="13" t="n">
        <x:v>1400000</x:v>
      </x:c>
      <x:c r="E5" s="12" t="str">
        <x:v>期初历史应收；当前未清偿，需核实可收回性</x:v>
      </x:c>
    </x:row>
    <x:row r="6" ht="38" customHeight="1">
      <x:c r="A6" s="12" t="str">
        <x:v>KS-INJECTION-1000-S-202601-1</x:v>
      </x:c>
      <x:c r="B6" s="12" t="str">
        <x:v>模拟下游1</x:v>
      </x:c>
      <x:c r="C6" s="14" t="n">
        <x:v>46032</x:v>
      </x:c>
      <x:c r="D6" s="13" t="n">
        <x:v>16262</x:v>
      </x:c>
      <x:c r="E6" s="12" t="str">
        <x:v>本期未收尾款；历史尾款持续未清需解释</x:v>
      </x:c>
    </x:row>
    <x:row r="7" ht="38" customHeight="1">
      <x:c r="A7" s="12" t="str">
        <x:v>KS-INJECTION-1000-S-202601-2</x:v>
      </x:c>
      <x:c r="B7" s="12" t="str">
        <x:v>模拟下游2</x:v>
      </x:c>
      <x:c r="C7" s="14" t="n">
        <x:v>46032</x:v>
      </x:c>
      <x:c r="D7" s="13" t="n">
        <x:v>15783</x:v>
      </x:c>
      <x:c r="E7" s="12" t="str">
        <x:v>本期未收尾款；历史尾款持续未清需解释</x:v>
      </x:c>
    </x:row>
    <x:row r="8" ht="38" customHeight="1">
      <x:c r="A8" s="12" t="str">
        <x:v>KS-INJECTION-1000-S-202601-3</x:v>
      </x:c>
      <x:c r="B8" s="12" t="str">
        <x:v>模拟下游3</x:v>
      </x:c>
      <x:c r="C8" s="14" t="n">
        <x:v>46032</x:v>
      </x:c>
      <x:c r="D8" s="13" t="n">
        <x:v>15783</x:v>
      </x:c>
      <x:c r="E8" s="12" t="str">
        <x:v>本期未收尾款；历史尾款持续未清需解释</x:v>
      </x:c>
    </x:row>
    <x:row r="9" ht="38" customHeight="1">
      <x:c r="A9" s="12" t="str">
        <x:v>KS-INJECTION-1000-S-202602-1</x:v>
      </x:c>
      <x:c r="B9" s="12" t="str">
        <x:v>模拟下游1</x:v>
      </x:c>
      <x:c r="C9" s="14" t="n">
        <x:v>46063</x:v>
      </x:c>
      <x:c r="D9" s="13" t="n">
        <x:v>14636</x:v>
      </x:c>
      <x:c r="E9" s="12" t="str">
        <x:v>本期未收尾款；历史尾款持续未清需解释</x:v>
      </x:c>
    </x:row>
    <x:row r="10" ht="38" customHeight="1">
      <x:c r="A10" s="12" t="str">
        <x:v>KS-INJECTION-1000-S-202602-2</x:v>
      </x:c>
      <x:c r="B10" s="12" t="str">
        <x:v>模拟下游2</x:v>
      </x:c>
      <x:c r="C10" s="14" t="n">
        <x:v>46063</x:v>
      </x:c>
      <x:c r="D10" s="13" t="n">
        <x:v>14205</x:v>
      </x:c>
      <x:c r="E10" s="12" t="str">
        <x:v>本期未收尾款；历史尾款持续未清需解释</x:v>
      </x:c>
    </x:row>
    <x:row r="11" ht="38" customHeight="1">
      <x:c r="A11" s="12" t="str">
        <x:v>KS-INJECTION-1000-S-202602-3</x:v>
      </x:c>
      <x:c r="B11" s="12" t="str">
        <x:v>模拟下游3</x:v>
      </x:c>
      <x:c r="C11" s="14" t="n">
        <x:v>46063</x:v>
      </x:c>
      <x:c r="D11" s="13" t="n">
        <x:v>14205</x:v>
      </x:c>
      <x:c r="E11" s="12" t="str">
        <x:v>本期未收尾款；历史尾款持续未清需解释</x:v>
      </x:c>
    </x:row>
    <x:row r="12" ht="38" customHeight="1">
      <x:c r="A12" s="12" t="str">
        <x:v>KS-INJECTION-1000-S-202603-1</x:v>
      </x:c>
      <x:c r="B12" s="12" t="str">
        <x:v>模拟下游1</x:v>
      </x:c>
      <x:c r="C12" s="14" t="n">
        <x:v>46091</x:v>
      </x:c>
      <x:c r="D12" s="13" t="n">
        <x:v>20734</x:v>
      </x:c>
      <x:c r="E12" s="12" t="str">
        <x:v>本期未收尾款；历史尾款持续未清需解释</x:v>
      </x:c>
    </x:row>
    <x:row r="13" ht="38" customHeight="1">
      <x:c r="A13" s="12" t="str">
        <x:v>KS-INJECTION-1000-S-202603-2</x:v>
      </x:c>
      <x:c r="B13" s="12" t="str">
        <x:v>模拟下游2</x:v>
      </x:c>
      <x:c r="C13" s="14" t="n">
        <x:v>46091</x:v>
      </x:c>
      <x:c r="D13" s="13" t="n">
        <x:v>20124</x:v>
      </x:c>
      <x:c r="E13" s="12" t="str">
        <x:v>本期未收尾款；历史尾款持续未清需解释</x:v>
      </x:c>
    </x:row>
    <x:row r="14" ht="38" customHeight="1">
      <x:c r="A14" s="12" t="str">
        <x:v>KS-INJECTION-1000-S-202603-3</x:v>
      </x:c>
      <x:c r="B14" s="12" t="str">
        <x:v>模拟下游3</x:v>
      </x:c>
      <x:c r="C14" s="14" t="n">
        <x:v>46091</x:v>
      </x:c>
      <x:c r="D14" s="13" t="n">
        <x:v>20124</x:v>
      </x:c>
      <x:c r="E14" s="12" t="str">
        <x:v>本期未收尾款；历史尾款持续未清需解释</x:v>
      </x:c>
    </x:row>
    <x:row r="15" ht="38" customHeight="1">
      <x:c r="A15" s="12" t="str">
        <x:v>KS-INJECTION-1000-S-202604-1</x:v>
      </x:c>
      <x:c r="B15" s="12" t="str">
        <x:v>模拟下游1</x:v>
      </x:c>
      <x:c r="C15" s="14" t="n">
        <x:v>46122</x:v>
      </x:c>
      <x:c r="D15" s="13" t="n">
        <x:v>21547</x:v>
      </x:c>
      <x:c r="E15" s="12" t="str">
        <x:v>本期未收尾款；历史尾款持续未清需解释</x:v>
      </x:c>
    </x:row>
    <x:row r="16" ht="38" customHeight="1">
      <x:c r="A16" s="12" t="str">
        <x:v>KS-INJECTION-1000-S-202604-2</x:v>
      </x:c>
      <x:c r="B16" s="12" t="str">
        <x:v>模拟下游2</x:v>
      </x:c>
      <x:c r="C16" s="14" t="n">
        <x:v>46122</x:v>
      </x:c>
      <x:c r="D16" s="13" t="n">
        <x:v>20913</x:v>
      </x:c>
      <x:c r="E16" s="12" t="str">
        <x:v>本期未收尾款；历史尾款持续未清需解释</x:v>
      </x:c>
    </x:row>
    <x:row r="17" ht="38" customHeight="1">
      <x:c r="A17" s="12" t="str">
        <x:v>KS-INJECTION-1000-S-202604-3</x:v>
      </x:c>
      <x:c r="B17" s="12" t="str">
        <x:v>模拟下游3</x:v>
      </x:c>
      <x:c r="C17" s="14" t="n">
        <x:v>46122</x:v>
      </x:c>
      <x:c r="D17" s="13" t="n">
        <x:v>20913</x:v>
      </x:c>
      <x:c r="E17" s="12" t="str">
        <x:v>本期未收尾款；历史尾款持续未清需解释</x:v>
      </x:c>
    </x:row>
    <x:row r="18" ht="38" customHeight="1">
      <x:c r="A18" s="12" t="str">
        <x:v>KS-INJECTION-1000-S-202605-1</x:v>
      </x:c>
      <x:c r="B18" s="12" t="str">
        <x:v>模拟下游1</x:v>
      </x:c>
      <x:c r="C18" s="14" t="n">
        <x:v>46152</x:v>
      </x:c>
      <x:c r="D18" s="13" t="n">
        <x:v>22360</x:v>
      </x:c>
      <x:c r="E18" s="12" t="str">
        <x:v>本期未收尾款；历史尾款持续未清需解释</x:v>
      </x:c>
    </x:row>
    <x:row r="19" ht="38" customHeight="1">
      <x:c r="A19" s="12" t="str">
        <x:v>KS-INJECTION-1000-S-202605-2</x:v>
      </x:c>
      <x:c r="B19" s="12" t="str">
        <x:v>模拟下游2</x:v>
      </x:c>
      <x:c r="C19" s="14" t="n">
        <x:v>46152</x:v>
      </x:c>
      <x:c r="D19" s="13" t="n">
        <x:v>21702</x:v>
      </x:c>
      <x:c r="E19" s="12" t="str">
        <x:v>本期未收尾款；历史尾款持续未清需解释</x:v>
      </x:c>
    </x:row>
    <x:row r="20" ht="38" customHeight="1">
      <x:c r="A20" s="12" t="str">
        <x:v>KS-INJECTION-1000-S-202605-3</x:v>
      </x:c>
      <x:c r="B20" s="12" t="str">
        <x:v>模拟下游3</x:v>
      </x:c>
      <x:c r="C20" s="14" t="n">
        <x:v>46152</x:v>
      </x:c>
      <x:c r="D20" s="13" t="n">
        <x:v>21702</x:v>
      </x:c>
      <x:c r="E20" s="12" t="str">
        <x:v>本期未收尾款；历史尾款持续未清需解释</x:v>
      </x:c>
    </x:row>
    <x:row r="21" ht="38" customHeight="1">
      <x:c r="A21" s="12" t="str">
        <x:v>KS-INJECTION-1000-S-202606-1</x:v>
      </x:c>
      <x:c r="B21" s="12" t="str">
        <x:v>模拟下游1</x:v>
      </x:c>
      <x:c r="C21" s="14" t="n">
        <x:v>46183</x:v>
      </x:c>
      <x:c r="D21" s="13" t="n">
        <x:v>21344</x:v>
      </x:c>
      <x:c r="E21" s="12" t="str">
        <x:v>本期未收尾款；历史尾款持续未清需解释</x:v>
      </x:c>
    </x:row>
    <x:row r="22" ht="38" customHeight="1">
      <x:c r="A22" s="12" t="str">
        <x:v>KS-INJECTION-1000-S-202606-2</x:v>
      </x:c>
      <x:c r="B22" s="12" t="str">
        <x:v>模拟下游2</x:v>
      </x:c>
      <x:c r="C22" s="14" t="n">
        <x:v>46183</x:v>
      </x:c>
      <x:c r="D22" s="13" t="n">
        <x:v>20716</x:v>
      </x:c>
      <x:c r="E22" s="12" t="str">
        <x:v>本期未收尾款；历史尾款持续未清需解释</x:v>
      </x:c>
    </x:row>
    <x:row r="23" ht="38" customHeight="1">
      <x:c r="A23" s="12" t="str">
        <x:v>KS-INJECTION-1000-S-202606-3</x:v>
      </x:c>
      <x:c r="B23" s="12" t="str">
        <x:v>模拟下游3</x:v>
      </x:c>
      <x:c r="C23" s="14" t="n">
        <x:v>46183</x:v>
      </x:c>
      <x:c r="D23" s="13" t="n">
        <x:v>20716</x:v>
      </x:c>
      <x:c r="E23" s="12" t="str">
        <x:v>本期未收尾款；历史尾款持续未清需解释</x:v>
      </x:c>
    </x:row>
    <x:row r="24" ht="38" customHeight="1">
      <x:c r="A24" s="12" t="str">
        <x:v>KS-INJECTION-1000-S-202607-1</x:v>
      </x:c>
      <x:c r="B24" s="12" t="str">
        <x:v>模拟下游1</x:v>
      </x:c>
      <x:c r="C24" s="14" t="n">
        <x:v>46213</x:v>
      </x:c>
      <x:c r="D24" s="13" t="n">
        <x:v>21953</x:v>
      </x:c>
      <x:c r="E24" s="12" t="str">
        <x:v>本期未收尾款；历史尾款持续未清需解释</x:v>
      </x:c>
    </x:row>
    <x:row r="25" ht="38" customHeight="1">
      <x:c r="A25" s="12" t="str">
        <x:v>KS-INJECTION-1000-S-202607-2</x:v>
      </x:c>
      <x:c r="B25" s="12" t="str">
        <x:v>模拟下游2</x:v>
      </x:c>
      <x:c r="C25" s="14" t="n">
        <x:v>46213</x:v>
      </x:c>
      <x:c r="D25" s="13" t="n">
        <x:v>21308</x:v>
      </x:c>
      <x:c r="E25" s="12" t="str">
        <x:v>本期未收尾款；历史尾款持续未清需解释</x:v>
      </x:c>
    </x:row>
    <x:row r="26" ht="38" customHeight="1">
      <x:c r="A26" s="12" t="str">
        <x:v>KS-INJECTION-1000-S-202607-3</x:v>
      </x:c>
      <x:c r="B26" s="12" t="str">
        <x:v>模拟下游3</x:v>
      </x:c>
      <x:c r="C26" s="14" t="n">
        <x:v>46213</x:v>
      </x:c>
      <x:c r="D26" s="13" t="n">
        <x:v>21308</x:v>
      </x:c>
      <x:c r="E26" s="12" t="str">
        <x:v>本期未收尾款；历史尾款持续未清需解释</x:v>
      </x:c>
    </x:row>
    <x:row r="27" ht="38" customHeight="1">
      <x:c r="A27" s="12" t="str">
        <x:v>KS-INJECTION-1000-S-202608-1</x:v>
      </x:c>
      <x:c r="B27" s="12" t="str">
        <x:v>模拟下游1</x:v>
      </x:c>
      <x:c r="C27" s="14" t="n">
        <x:v>46244</x:v>
      </x:c>
      <x:c r="D27" s="13" t="n">
        <x:v>21953</x:v>
      </x:c>
      <x:c r="E27" s="12" t="str">
        <x:v>本期未收尾款；历史尾款持续未清需解释</x:v>
      </x:c>
    </x:row>
    <x:row r="28" ht="38" customHeight="1">
      <x:c r="A28" s="12" t="str">
        <x:v>KS-INJECTION-1000-S-202608-2</x:v>
      </x:c>
      <x:c r="B28" s="12" t="str">
        <x:v>模拟下游2</x:v>
      </x:c>
      <x:c r="C28" s="14" t="n">
        <x:v>46244</x:v>
      </x:c>
      <x:c r="D28" s="13" t="n">
        <x:v>21308</x:v>
      </x:c>
      <x:c r="E28" s="12" t="str">
        <x:v>本期未收尾款；历史尾款持续未清需解释</x:v>
      </x:c>
    </x:row>
    <x:row r="29" ht="38" customHeight="1">
      <x:c r="A29" s="12" t="str">
        <x:v>KS-INJECTION-1000-S-202608-3</x:v>
      </x:c>
      <x:c r="B29" s="12" t="str">
        <x:v>模拟下游3</x:v>
      </x:c>
      <x:c r="C29" s="14" t="n">
        <x:v>46244</x:v>
      </x:c>
      <x:c r="D29" s="13" t="n">
        <x:v>21308</x:v>
      </x:c>
      <x:c r="E29" s="12" t="str">
        <x:v>本期未收尾款；历史尾款持续未清需解释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9" t="str">
        <x:v>喀什示例塑料制品有限公司 · 债务计划</x:v>
      </x:c>
      <x:c r="B1" s="9"/>
      <x:c r="C1" s="9"/>
      <x:c r="D1" s="9"/>
      <x:c r="E1" s="9"/>
      <x:c r="F1" s="9"/>
      <x:c r="G1" s="9"/>
      <x:c r="H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38" customHeight="1">
      <x:c r="A4" s="11" t="str">
        <x:v>债务编号</x:v>
      </x:c>
      <x:c r="B4" s="11" t="str">
        <x:v>债权人</x:v>
      </x:c>
      <x:c r="C4" s="11" t="str">
        <x:v>期末本金元</x:v>
      </x:c>
      <x:c r="D4" s="11" t="str">
        <x:v>年利率</x:v>
      </x:c>
      <x:c r="E4" s="11" t="str">
        <x:v>到期日</x:v>
      </x:c>
      <x:c r="F4" s="11" t="str">
        <x:v>还本方式</x:v>
      </x:c>
      <x:c r="G4" s="11" t="str">
        <x:v>担保</x:v>
      </x:c>
      <x:c r="H4" s="11" t="str">
        <x:v>状态</x:v>
      </x:c>
    </x:row>
    <x:row r="5" ht="38" customHeight="1">
      <x:c r="A5" s="12" t="str">
        <x:v>KS-INJECTION-1000-LOAN</x:v>
      </x:c>
      <x:c r="B5" s="12" t="str">
        <x:v>模拟融资机构</x:v>
      </x:c>
      <x:c r="C5" s="13" t="n">
        <x:v>6000000</x:v>
      </x:c>
      <x:c r="D5" s="15" t="n">
        <x:v>0.05</x:v>
      </x:c>
      <x:c r="E5" s="14" t="n">
        <x:v>47118</x:v>
      </x:c>
      <x:c r="F5" s="12" t="str">
        <x:v>到期还本、每月付息</x:v>
      </x:c>
      <x:c r="G5" s="12" t="str">
        <x:v>非本次设备担保</x:v>
      </x:c>
      <x:c r="H5" s="12" t="str">
        <x:v>截至基准日无已发生逾期（合成）</x:v>
      </x:c>
    </x:row>
  </x:sheetData>
  <x:mergeCells>
    <x:mergeCell ref="A1:F1"/>
    <x:mergeCell ref="A2:F2"/>
  </x:mergeCells>
  <x:pageMargins left="0.7" right="0.7" top="0.75" bottom="0.75" header="0.3" footer="0.3"/>
</x:worksheet>
</file>